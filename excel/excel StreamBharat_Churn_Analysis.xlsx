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Downloaded Data\"/>
    </mc:Choice>
  </mc:AlternateContent>
  <xr:revisionPtr revIDLastSave="0" documentId="13_ncr:1_{E7DEAEB0-FD43-44D5-BDE4-28418E9AF35C}" xr6:coauthVersionLast="47" xr6:coauthVersionMax="47" xr10:uidLastSave="{00000000-0000-0000-0000-000000000000}"/>
  <bookViews>
    <workbookView xWindow="-108" yWindow="-108" windowWidth="23256" windowHeight="13896" firstSheet="1" activeTab="2" xr2:uid="{B6C0BEB5-425B-4BBE-B2BE-337F4284AF26}"/>
  </bookViews>
  <sheets>
    <sheet name="Executive Summary Table " sheetId="2" r:id="rId1"/>
    <sheet name="Churn Analysis Pivots" sheetId="1" r:id="rId2"/>
    <sheet name="Revenue Impact Table " sheetId="3" r:id="rId3"/>
    <sheet name="High Risk Customer List" sheetId="4" r:id="rId4"/>
  </sheets>
  <definedNames>
    <definedName name="ExternalData_1" localSheetId="3" hidden="1">'High Risk Customer List'!$A$5:$O$10</definedName>
  </definedNames>
  <calcPr calcId="191029"/>
  <pivotCaches>
    <pivotCache cacheId="6" r:id="rId5"/>
    <pivotCache cacheId="8" r:id="rId6"/>
    <pivotCache cacheId="12" r:id="rId7"/>
    <pivotCache cacheId="18" r:id="rId8"/>
    <pivotCache cacheId="2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6" i="4" l="1"/>
  <c r="P7" i="4"/>
  <c r="P8" i="4"/>
  <c r="P9" i="4"/>
  <c r="R9" i="4" s="1"/>
  <c r="P10" i="4"/>
  <c r="R10" i="4" s="1"/>
  <c r="R6" i="4"/>
  <c r="R7" i="4"/>
  <c r="R8" i="4"/>
  <c r="Q6" i="4"/>
  <c r="Q7" i="4"/>
  <c r="Q8" i="4"/>
  <c r="Q9" i="4"/>
  <c r="Q10" i="4"/>
  <c r="D8" i="3"/>
  <c r="F8" i="3"/>
  <c r="G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5720CA-DC95-4CBE-A8FD-246067836DD7}" keepAlive="1" name="Query - Q12 High Risk Active Customer List" description="Connection to the 'Q12 High Risk Active Customer List' query in the workbook." type="5" refreshedVersion="0" background="1">
    <dbPr connection="Provider=Microsoft.Mashup.OleDb.1;Data Source=$Workbook$;Location=&quot;Q12 High Risk Active Customer List&quot;;Extended Properties=&quot;&quot;" command="SELECT * FROM [Q12 High Risk Active Customer List]"/>
  </connection>
  <connection id="2" xr16:uid="{1C24CBCA-4059-425C-849A-F801498C3547}" keepAlive="1" name="Query - Q12 High Risk Active Customer List (2)" description="Connection to the 'Q12 High Risk Active Customer List (2)' query in the workbook." type="5" refreshedVersion="8" background="1" saveData="1">
    <dbPr connection="Provider=Microsoft.Mashup.OleDb.1;Data Source=$Workbook$;Location=&quot;Q12 High Risk Active Customer List (2)&quot;;Extended Properties=&quot;&quot;" command="SELECT * FROM [Q12 High Risk Active Customer List (2)]"/>
  </connection>
  <connection id="3" xr16:uid="{44A82597-1A89-4F86-A364-79D6E4C154DF}" keepAlive="1" name="Query - Q2 Churn Rate by Subscription Plan" description="Connection to the 'Q2 Churn Rate by Subscription Plan' query in the workbook." type="5" refreshedVersion="8" background="1" saveData="1">
    <dbPr connection="Provider=Microsoft.Mashup.OleDb.1;Data Source=$Workbook$;Location=&quot;Q2 Churn Rate by Subscription Plan&quot;;Extended Properties=&quot;&quot;" command="SELECT * FROM [Q2 Churn Rate by Subscription Plan]"/>
  </connection>
  <connection id="4" xr16:uid="{466CFEDD-462E-453E-91B8-E1107F7DC624}" keepAlive="1" name="Query - Q3 Top Churn Reasons with Percentage" description="Connection to the 'Q3 Top Churn Reasons with Percentage' query in the workbook." type="5" refreshedVersion="8" background="1" saveData="1">
    <dbPr connection="Provider=Microsoft.Mashup.OleDb.1;Data Source=$Workbook$;Location=&quot;Q3 Top Churn Reasons with Percentage&quot;;Extended Properties=&quot;&quot;" command="SELECT * FROM [Q3 Top Churn Reasons with Percentage]"/>
  </connection>
  <connection id="5" xr16:uid="{BB98C6B0-D328-46CB-BF67-7074DEA4A71D}" keepAlive="1" name="Query - Q4 Churn by Age Group" description="Connection to the 'Q4 Churn by Age Group' query in the workbook." type="5" refreshedVersion="8" background="1" saveData="1">
    <dbPr connection="Provider=Microsoft.Mashup.OleDb.1;Data Source=$Workbook$;Location=&quot;Q4 Churn by Age Group&quot;;Extended Properties=&quot;&quot;" command="SELECT * FROM [Q4 Churn by Age Group]"/>
  </connection>
  <connection id="6" xr16:uid="{415E9589-8915-4C90-8B01-6C4F479752B0}" keepAlive="1" name="Query - Q5a Churn by City (Top 10)" description="Connection to the 'Q5a Churn by City (Top 10)' query in the workbook." type="5" refreshedVersion="8" background="1" saveData="1">
    <dbPr connection="Provider=Microsoft.Mashup.OleDb.1;Data Source=$Workbook$;Location=&quot;Q5a Churn by City (Top 10)&quot;;Extended Properties=&quot;&quot;" command="SELECT * FROM [Q5a Churn by City (Top 10)]"/>
  </connection>
  <connection id="7" xr16:uid="{E3B32A8E-29F4-42EF-A4BE-37F4D4891F08}" keepAlive="1" name="Query - Q6 Churn by Primary Device" description="Connection to the 'Q6 Churn by Primary Device' query in the workbook." type="5" refreshedVersion="8" background="1" saveData="1">
    <dbPr connection="Provider=Microsoft.Mashup.OleDb.1;Data Source=$Workbook$;Location=&quot;Q6 Churn by Primary Device&quot;;Extended Properties=&quot;&quot;" command="SELECT * FROM [Q6 Churn by Primary Device]"/>
  </connection>
  <connection id="8" xr16:uid="{CA8138A5-0425-49E2-BBC8-25B295339B7C}" keepAlive="1" name="Query - Q7a Revenue Lost to Churn by Plan" description="Connection to the 'Q7a Revenue Lost to Churn by Plan' query in the workbook." type="5" refreshedVersion="0" background="1">
    <dbPr connection="Provider=Microsoft.Mashup.OleDb.1;Data Source=$Workbook$;Location=&quot;Q7a Revenue Lost to Churn by Plan&quot;;Extended Properties=&quot;&quot;" command="SELECT * FROM [Q7a Revenue Lost to Churn by Plan]"/>
  </connection>
</connections>
</file>

<file path=xl/sharedStrings.xml><?xml version="1.0" encoding="utf-8"?>
<sst xmlns="http://schemas.openxmlformats.org/spreadsheetml/2006/main" count="159" uniqueCount="115">
  <si>
    <t>Data Period: January 2023 – December 2024</t>
  </si>
  <si>
    <t>KPI</t>
  </si>
  <si>
    <t>Status</t>
  </si>
  <si>
    <t>Total Subscriptions</t>
  </si>
  <si>
    <t>-</t>
  </si>
  <si>
    <t>Total Churned</t>
  </si>
  <si>
    <t>Total Active</t>
  </si>
  <si>
    <t>Monthly Revenue Lost</t>
  </si>
  <si>
    <t>Revenue Loss %</t>
  </si>
  <si>
    <t>Highest Churn Plan</t>
  </si>
  <si>
    <t>Lowest Churn Plan</t>
  </si>
  <si>
    <t>Top Churn Reason</t>
  </si>
  <si>
    <t>High Risk Customers</t>
  </si>
  <si>
    <t>Frequent buffering issues</t>
  </si>
  <si>
    <t>Mobile</t>
  </si>
  <si>
    <t>Basic</t>
  </si>
  <si>
    <t>Standard</t>
  </si>
  <si>
    <t>Premium</t>
  </si>
  <si>
    <t>High subscription price</t>
  </si>
  <si>
    <t>Switched to free platform</t>
  </si>
  <si>
    <t>Found better OTT platform</t>
  </si>
  <si>
    <t>Poor customer support</t>
  </si>
  <si>
    <t>Poor regional content</t>
  </si>
  <si>
    <t>No new content added</t>
  </si>
  <si>
    <t>Technical issues with app</t>
  </si>
  <si>
    <t>Unknown / Not Captured</t>
  </si>
  <si>
    <t>Unknown Age</t>
  </si>
  <si>
    <t>26-35 Millennials</t>
  </si>
  <si>
    <t>46-60 Boomers</t>
  </si>
  <si>
    <t>36-45 Gen X</t>
  </si>
  <si>
    <t>18-25 Gen Z</t>
  </si>
  <si>
    <t>city</t>
  </si>
  <si>
    <t>state</t>
  </si>
  <si>
    <t>Mysuru</t>
  </si>
  <si>
    <t>Indore</t>
  </si>
  <si>
    <t>Madhya Pradesh</t>
  </si>
  <si>
    <t>Nagpur</t>
  </si>
  <si>
    <t>Surat</t>
  </si>
  <si>
    <t>Gujarat</t>
  </si>
  <si>
    <t>Chennai</t>
  </si>
  <si>
    <t>Tamil Nadu</t>
  </si>
  <si>
    <t>Delhi</t>
  </si>
  <si>
    <t>Patna</t>
  </si>
  <si>
    <t>Lucknow</t>
  </si>
  <si>
    <t>Uttar Pradesh</t>
  </si>
  <si>
    <t>Gurgaon</t>
  </si>
  <si>
    <t>Howrah</t>
  </si>
  <si>
    <t>primary_device</t>
  </si>
  <si>
    <t>Tablet</t>
  </si>
  <si>
    <t>Smart TV</t>
  </si>
  <si>
    <t>Laptop</t>
  </si>
  <si>
    <t>Row Labels</t>
  </si>
  <si>
    <t>Grand Total</t>
  </si>
  <si>
    <t>Sum of total_subscriptions</t>
  </si>
  <si>
    <t>Sum of churned</t>
  </si>
  <si>
    <t>Average of churn_rate_pct</t>
  </si>
  <si>
    <t>Mobile(149)</t>
  </si>
  <si>
    <t>Premium(799)</t>
  </si>
  <si>
    <t>Platform: StreamBharat (Indian OTT — Fictional)</t>
  </si>
  <si>
    <t>StreamBharat OTT — Customer Churn Analysis Report</t>
  </si>
  <si>
    <t>VALUE</t>
  </si>
  <si>
    <t>Overall Churn Rate %</t>
  </si>
  <si>
    <t>Retention Rate %</t>
  </si>
  <si>
    <t xml:space="preserve">Monthly Active Revenue </t>
  </si>
  <si>
    <t xml:space="preserve"> High</t>
  </si>
  <si>
    <t xml:space="preserve"> Low</t>
  </si>
  <si>
    <t xml:space="preserve"> Active</t>
  </si>
  <si>
    <t xml:space="preserve"> Lost Revenue</t>
  </si>
  <si>
    <t>Sum of total_churned</t>
  </si>
  <si>
    <t>Sum of pct_of_total_churn</t>
  </si>
  <si>
    <t>Sum of churn_rate_pct</t>
  </si>
  <si>
    <t>plan_name</t>
  </si>
  <si>
    <t>monthly_price_inr</t>
  </si>
  <si>
    <t>Revenue Impact Analysis — StreamBharat OTT</t>
  </si>
  <si>
    <t>Plan Name</t>
  </si>
  <si>
    <t>Monthly Price (₹)</t>
  </si>
  <si>
    <t>Active Subscribers</t>
  </si>
  <si>
    <t>Monthly Active Revenue (₹)</t>
  </si>
  <si>
    <t>Churned Subscribers</t>
  </si>
  <si>
    <t>Monthly Revenue Lost (₹)</t>
  </si>
  <si>
    <t>Annual Revenue Lost (₹)</t>
  </si>
  <si>
    <t>TOTAL</t>
  </si>
  <si>
    <t>KEY BUSINESS INSIGHT:</t>
  </si>
  <si>
    <t>Retaining 1 Premium subscriber saves ₹799/month.</t>
  </si>
  <si>
    <t>That equals retaining 5 Mobile subscribers (₹149 each).</t>
  </si>
  <si>
    <t>Premium retention should be the #1 priority for the retention team.</t>
  </si>
  <si>
    <t>customer_id</t>
  </si>
  <si>
    <t>customer_name</t>
  </si>
  <si>
    <t>tenure_months</t>
  </si>
  <si>
    <t>avg_daily_watch_hrs</t>
  </si>
  <si>
    <t>sessions_per_week</t>
  </si>
  <si>
    <t>days_since_last_login</t>
  </si>
  <si>
    <t>completion_rate_pct</t>
  </si>
  <si>
    <t>failed_payments</t>
  </si>
  <si>
    <t>risk_score</t>
  </si>
  <si>
    <t>risk_level</t>
  </si>
  <si>
    <t>C0369</t>
  </si>
  <si>
    <t>Shreya Mishra</t>
  </si>
  <si>
    <t>HIGH</t>
  </si>
  <si>
    <t>C1082</t>
  </si>
  <si>
    <t>Gaurav Verma</t>
  </si>
  <si>
    <t>C0746</t>
  </si>
  <si>
    <t>Rajesh Bose</t>
  </si>
  <si>
    <t>C0299</t>
  </si>
  <si>
    <t>Swati Pillai</t>
  </si>
  <si>
    <t>Kanpur</t>
  </si>
  <si>
    <t>C1917</t>
  </si>
  <si>
    <t>Deepa Sinha</t>
  </si>
  <si>
    <t>Bhopal</t>
  </si>
  <si>
    <t>Recommended Action</t>
  </si>
  <si>
    <t>Revenue at Risk (₹/month)</t>
  </si>
  <si>
    <t>Priority Rank</t>
  </si>
  <si>
    <t>High Risk Customer Action List</t>
  </si>
  <si>
    <t>Total High Risk Customers:</t>
  </si>
  <si>
    <t>Total Monthly Revenue at Risk: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</si>
</sst>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[$₹-4009]\ #,##0;[$₹-4009]\ \-#,##0"/>
    <numFmt numFmtId="169" formatCode="&quot;₹&quot;\ #,##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5" borderId="1" xfId="0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NumberFormat="1"/>
    <xf numFmtId="0" fontId="3" fillId="8" borderId="2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2" fillId="9" borderId="0" xfId="0" applyFont="1" applyFill="1" applyAlignment="1"/>
    <xf numFmtId="0" fontId="4" fillId="9" borderId="0" xfId="0" applyFont="1" applyFill="1"/>
    <xf numFmtId="0" fontId="0" fillId="0" borderId="1" xfId="0" applyBorder="1"/>
    <xf numFmtId="169" fontId="0" fillId="0" borderId="1" xfId="0" applyNumberFormat="1" applyBorder="1"/>
    <xf numFmtId="0" fontId="5" fillId="0" borderId="1" xfId="0" applyFont="1" applyBorder="1"/>
    <xf numFmtId="0" fontId="0" fillId="2" borderId="1" xfId="0" applyFill="1" applyBorder="1"/>
    <xf numFmtId="0" fontId="0" fillId="7" borderId="0" xfId="0" applyNumberFormat="1" applyFill="1"/>
    <xf numFmtId="0" fontId="2" fillId="11" borderId="0" xfId="0" applyFont="1" applyFill="1" applyAlignment="1">
      <alignment horizontal="center"/>
    </xf>
    <xf numFmtId="0" fontId="0" fillId="10" borderId="0" xfId="0" applyFill="1"/>
    <xf numFmtId="44" fontId="0" fillId="10" borderId="0" xfId="1" applyFont="1" applyFill="1"/>
  </cellXfs>
  <cellStyles count="2">
    <cellStyle name="Currency" xfId="1" builtinId="4"/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onnections" Target="connection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Churn Rate by Subscription Plan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278980752405948"/>
          <c:y val="0.27460447652376785"/>
          <c:w val="0.40446806649168854"/>
          <c:h val="0.61836650627004963"/>
        </c:manualLayout>
      </c:layout>
      <c:barChart>
        <c:barDir val="bar"/>
        <c:grouping val="clustered"/>
        <c:varyColors val="0"/>
        <c:ser>
          <c:idx val="0"/>
          <c:order val="0"/>
          <c:tx>
            <c:v>Sum of total_subscriptions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4"/>
              <c:pt idx="0">
                <c:v>Basic</c:v>
              </c:pt>
              <c:pt idx="1">
                <c:v>Mobile</c:v>
              </c:pt>
              <c:pt idx="2">
                <c:v>Premium</c:v>
              </c:pt>
              <c:pt idx="3">
                <c:v>Standard</c:v>
              </c:pt>
            </c:strLit>
          </c:cat>
          <c:val>
            <c:numLit>
              <c:formatCode>General</c:formatCode>
              <c:ptCount val="4"/>
              <c:pt idx="0">
                <c:v>1276</c:v>
              </c:pt>
              <c:pt idx="1">
                <c:v>1142</c:v>
              </c:pt>
              <c:pt idx="2">
                <c:v>594</c:v>
              </c:pt>
              <c:pt idx="3">
                <c:v>693</c:v>
              </c:pt>
            </c:numLit>
          </c:val>
          <c:extLst>
            <c:ext xmlns:c16="http://schemas.microsoft.com/office/drawing/2014/chart" uri="{C3380CC4-5D6E-409C-BE32-E72D297353CC}">
              <c16:uniqueId val="{00000000-80F2-46F4-B17D-6ECA4A1EA160}"/>
            </c:ext>
          </c:extLst>
        </c:ser>
        <c:ser>
          <c:idx val="1"/>
          <c:order val="1"/>
          <c:tx>
            <c:v>Sum of churned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4"/>
              <c:pt idx="0">
                <c:v>Basic</c:v>
              </c:pt>
              <c:pt idx="1">
                <c:v>Mobile</c:v>
              </c:pt>
              <c:pt idx="2">
                <c:v>Premium</c:v>
              </c:pt>
              <c:pt idx="3">
                <c:v>Standard</c:v>
              </c:pt>
            </c:strLit>
          </c:cat>
          <c:val>
            <c:numLit>
              <c:formatCode>General</c:formatCode>
              <c:ptCount val="4"/>
              <c:pt idx="0">
                <c:v>603</c:v>
              </c:pt>
              <c:pt idx="1">
                <c:v>626</c:v>
              </c:pt>
              <c:pt idx="2">
                <c:v>143</c:v>
              </c:pt>
              <c:pt idx="3">
                <c:v>254</c:v>
              </c:pt>
            </c:numLit>
          </c:val>
          <c:extLst>
            <c:ext xmlns:c16="http://schemas.microsoft.com/office/drawing/2014/chart" uri="{C3380CC4-5D6E-409C-BE32-E72D297353CC}">
              <c16:uniqueId val="{00000001-80F2-46F4-B17D-6ECA4A1EA160}"/>
            </c:ext>
          </c:extLst>
        </c:ser>
        <c:ser>
          <c:idx val="2"/>
          <c:order val="2"/>
          <c:tx>
            <c:v>Average of churn_rate_pct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4"/>
              <c:pt idx="0">
                <c:v>Basic</c:v>
              </c:pt>
              <c:pt idx="1">
                <c:v>Mobile</c:v>
              </c:pt>
              <c:pt idx="2">
                <c:v>Premium</c:v>
              </c:pt>
              <c:pt idx="3">
                <c:v>Standard</c:v>
              </c:pt>
            </c:strLit>
          </c:cat>
          <c:val>
            <c:numLit>
              <c:formatCode>General</c:formatCode>
              <c:ptCount val="4"/>
              <c:pt idx="0">
                <c:v>47.26</c:v>
              </c:pt>
              <c:pt idx="1">
                <c:v>54.82</c:v>
              </c:pt>
              <c:pt idx="2">
                <c:v>24.07</c:v>
              </c:pt>
              <c:pt idx="3">
                <c:v>36.65</c:v>
              </c:pt>
            </c:numLit>
          </c:val>
          <c:extLst>
            <c:ext xmlns:c16="http://schemas.microsoft.com/office/drawing/2014/chart" uri="{C3380CC4-5D6E-409C-BE32-E72D297353CC}">
              <c16:uniqueId val="{00000002-80F2-46F4-B17D-6ECA4A1EA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54249504"/>
        <c:axId val="1169042160"/>
      </c:barChart>
      <c:catAx>
        <c:axId val="1054249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042160"/>
        <c:crosses val="autoZero"/>
        <c:auto val="1"/>
        <c:lblAlgn val="ctr"/>
        <c:lblOffset val="100"/>
        <c:noMultiLvlLbl val="0"/>
      </c:catAx>
      <c:valAx>
        <c:axId val="1169042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24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[StreamBharat_Churn_Analysis.xlsx]Churn Analysis Pivots!PivotTable4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Why Are Subscribers Leaving?</a:t>
            </a:r>
            <a:endParaRPr lang="en-IN" b="1"/>
          </a:p>
        </c:rich>
      </c:tx>
      <c:layout>
        <c:manualLayout>
          <c:xMode val="edge"/>
          <c:yMode val="edge"/>
          <c:x val="0.50838676415448059"/>
          <c:y val="0.100036971513601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Analysis Pivots'!$B$17</c:f>
              <c:strCache>
                <c:ptCount val="1"/>
                <c:pt idx="0">
                  <c:v>Sum of total_churned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 Pivots'!$A$18:$A$27</c:f>
              <c:strCache>
                <c:ptCount val="9"/>
                <c:pt idx="0">
                  <c:v>Frequent buffering issues</c:v>
                </c:pt>
                <c:pt idx="1">
                  <c:v>High subscription price</c:v>
                </c:pt>
                <c:pt idx="2">
                  <c:v>Switched to free platform</c:v>
                </c:pt>
                <c:pt idx="3">
                  <c:v>Found better OTT platform</c:v>
                </c:pt>
                <c:pt idx="4">
                  <c:v>Poor customer support</c:v>
                </c:pt>
                <c:pt idx="5">
                  <c:v>Poor regional content</c:v>
                </c:pt>
                <c:pt idx="6">
                  <c:v>No new content added</c:v>
                </c:pt>
                <c:pt idx="7">
                  <c:v>Technical issues with app</c:v>
                </c:pt>
                <c:pt idx="8">
                  <c:v>Unknown / Not Captured</c:v>
                </c:pt>
              </c:strCache>
            </c:strRef>
          </c:cat>
          <c:val>
            <c:numRef>
              <c:f>'Churn Analysis Pivots'!$B$18:$B$27</c:f>
              <c:numCache>
                <c:formatCode>General</c:formatCode>
                <c:ptCount val="9"/>
                <c:pt idx="0">
                  <c:v>224</c:v>
                </c:pt>
                <c:pt idx="1">
                  <c:v>206</c:v>
                </c:pt>
                <c:pt idx="2">
                  <c:v>199</c:v>
                </c:pt>
                <c:pt idx="3">
                  <c:v>188</c:v>
                </c:pt>
                <c:pt idx="4">
                  <c:v>186</c:v>
                </c:pt>
                <c:pt idx="5">
                  <c:v>184</c:v>
                </c:pt>
                <c:pt idx="6">
                  <c:v>169</c:v>
                </c:pt>
                <c:pt idx="7">
                  <c:v>148</c:v>
                </c:pt>
                <c:pt idx="8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47-43AF-972F-E1FB28EAE56A}"/>
            </c:ext>
          </c:extLst>
        </c:ser>
        <c:ser>
          <c:idx val="1"/>
          <c:order val="1"/>
          <c:tx>
            <c:strRef>
              <c:f>'Churn Analysis Pivots'!$C$17</c:f>
              <c:strCache>
                <c:ptCount val="1"/>
                <c:pt idx="0">
                  <c:v>Sum of pct_of_total_churn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 Pivots'!$A$18:$A$27</c:f>
              <c:strCache>
                <c:ptCount val="9"/>
                <c:pt idx="0">
                  <c:v>Frequent buffering issues</c:v>
                </c:pt>
                <c:pt idx="1">
                  <c:v>High subscription price</c:v>
                </c:pt>
                <c:pt idx="2">
                  <c:v>Switched to free platform</c:v>
                </c:pt>
                <c:pt idx="3">
                  <c:v>Found better OTT platform</c:v>
                </c:pt>
                <c:pt idx="4">
                  <c:v>Poor customer support</c:v>
                </c:pt>
                <c:pt idx="5">
                  <c:v>Poor regional content</c:v>
                </c:pt>
                <c:pt idx="6">
                  <c:v>No new content added</c:v>
                </c:pt>
                <c:pt idx="7">
                  <c:v>Technical issues with app</c:v>
                </c:pt>
                <c:pt idx="8">
                  <c:v>Unknown / Not Captured</c:v>
                </c:pt>
              </c:strCache>
            </c:strRef>
          </c:cat>
          <c:val>
            <c:numRef>
              <c:f>'Churn Analysis Pivots'!$C$18:$C$27</c:f>
              <c:numCache>
                <c:formatCode>General</c:formatCode>
                <c:ptCount val="9"/>
                <c:pt idx="0">
                  <c:v>13.78</c:v>
                </c:pt>
                <c:pt idx="1">
                  <c:v>12.67</c:v>
                </c:pt>
                <c:pt idx="2">
                  <c:v>12.24</c:v>
                </c:pt>
                <c:pt idx="3">
                  <c:v>11.56</c:v>
                </c:pt>
                <c:pt idx="4">
                  <c:v>11.44</c:v>
                </c:pt>
                <c:pt idx="5">
                  <c:v>11.32</c:v>
                </c:pt>
                <c:pt idx="6">
                  <c:v>10.39</c:v>
                </c:pt>
                <c:pt idx="7">
                  <c:v>9.1</c:v>
                </c:pt>
                <c:pt idx="8">
                  <c:v>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47-43AF-972F-E1FB28EAE5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26290575"/>
        <c:axId val="1710153743"/>
      </c:barChart>
      <c:catAx>
        <c:axId val="122629057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153743"/>
        <c:crosses val="autoZero"/>
        <c:auto val="1"/>
        <c:lblAlgn val="ctr"/>
        <c:lblOffset val="100"/>
        <c:noMultiLvlLbl val="0"/>
      </c:catAx>
      <c:valAx>
        <c:axId val="17101537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290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[StreamBharat_Churn_Analysis.xlsx]Churn Analysis Pivots!PivotTable5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</a:t>
            </a:r>
            <a:r>
              <a:rPr lang="en-IN" sz="1400" b="1" i="0" u="none" strike="noStrike" baseline="0"/>
              <a:t>Churn Rate by Age Group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 Pivots'!$B$35</c:f>
              <c:strCache>
                <c:ptCount val="1"/>
                <c:pt idx="0">
                  <c:v>Sum of total_subscriptions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 Pivots'!$A$36:$A$41</c:f>
              <c:strCache>
                <c:ptCount val="5"/>
                <c:pt idx="0">
                  <c:v>18-25 Gen Z</c:v>
                </c:pt>
                <c:pt idx="1">
                  <c:v>26-35 Millennials</c:v>
                </c:pt>
                <c:pt idx="2">
                  <c:v>36-45 Gen X</c:v>
                </c:pt>
                <c:pt idx="3">
                  <c:v>46-60 Boomers</c:v>
                </c:pt>
                <c:pt idx="4">
                  <c:v>Unknown Age</c:v>
                </c:pt>
              </c:strCache>
            </c:strRef>
          </c:cat>
          <c:val>
            <c:numRef>
              <c:f>'Churn Analysis Pivots'!$B$36:$B$41</c:f>
              <c:numCache>
                <c:formatCode>General</c:formatCode>
                <c:ptCount val="5"/>
                <c:pt idx="0">
                  <c:v>681</c:v>
                </c:pt>
                <c:pt idx="1">
                  <c:v>835</c:v>
                </c:pt>
                <c:pt idx="2">
                  <c:v>883</c:v>
                </c:pt>
                <c:pt idx="3">
                  <c:v>1237</c:v>
                </c:pt>
                <c:pt idx="4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A3-4F1E-9647-55E701402806}"/>
            </c:ext>
          </c:extLst>
        </c:ser>
        <c:ser>
          <c:idx val="1"/>
          <c:order val="1"/>
          <c:tx>
            <c:strRef>
              <c:f>'Churn Analysis Pivots'!$C$35</c:f>
              <c:strCache>
                <c:ptCount val="1"/>
                <c:pt idx="0">
                  <c:v>Sum of churned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Analysis Pivots'!$A$36:$A$41</c:f>
              <c:strCache>
                <c:ptCount val="5"/>
                <c:pt idx="0">
                  <c:v>18-25 Gen Z</c:v>
                </c:pt>
                <c:pt idx="1">
                  <c:v>26-35 Millennials</c:v>
                </c:pt>
                <c:pt idx="2">
                  <c:v>36-45 Gen X</c:v>
                </c:pt>
                <c:pt idx="3">
                  <c:v>46-60 Boomers</c:v>
                </c:pt>
                <c:pt idx="4">
                  <c:v>Unknown Age</c:v>
                </c:pt>
              </c:strCache>
            </c:strRef>
          </c:cat>
          <c:val>
            <c:numRef>
              <c:f>'Churn Analysis Pivots'!$C$36:$C$41</c:f>
              <c:numCache>
                <c:formatCode>General</c:formatCode>
                <c:ptCount val="5"/>
                <c:pt idx="0">
                  <c:v>284</c:v>
                </c:pt>
                <c:pt idx="1">
                  <c:v>387</c:v>
                </c:pt>
                <c:pt idx="2">
                  <c:v>379</c:v>
                </c:pt>
                <c:pt idx="3">
                  <c:v>541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A3-4F1E-9647-55E701402806}"/>
            </c:ext>
          </c:extLst>
        </c:ser>
        <c:ser>
          <c:idx val="2"/>
          <c:order val="2"/>
          <c:tx>
            <c:strRef>
              <c:f>'Churn Analysis Pivots'!$D$35</c:f>
              <c:strCache>
                <c:ptCount val="1"/>
                <c:pt idx="0">
                  <c:v>Sum of churn_rate_pct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'Churn Analysis Pivots'!$A$36:$A$41</c:f>
              <c:strCache>
                <c:ptCount val="5"/>
                <c:pt idx="0">
                  <c:v>18-25 Gen Z</c:v>
                </c:pt>
                <c:pt idx="1">
                  <c:v>26-35 Millennials</c:v>
                </c:pt>
                <c:pt idx="2">
                  <c:v>36-45 Gen X</c:v>
                </c:pt>
                <c:pt idx="3">
                  <c:v>46-60 Boomers</c:v>
                </c:pt>
                <c:pt idx="4">
                  <c:v>Unknown Age</c:v>
                </c:pt>
              </c:strCache>
            </c:strRef>
          </c:cat>
          <c:val>
            <c:numRef>
              <c:f>'Churn Analysis Pivots'!$D$36:$D$41</c:f>
              <c:numCache>
                <c:formatCode>General</c:formatCode>
                <c:ptCount val="5"/>
                <c:pt idx="0">
                  <c:v>41.7</c:v>
                </c:pt>
                <c:pt idx="1">
                  <c:v>46.35</c:v>
                </c:pt>
                <c:pt idx="2">
                  <c:v>42.92</c:v>
                </c:pt>
                <c:pt idx="3">
                  <c:v>43.73</c:v>
                </c:pt>
                <c:pt idx="4">
                  <c:v>50.72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A3-4F1E-9647-55E701402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6327231"/>
        <c:axId val="2033247664"/>
      </c:barChart>
      <c:catAx>
        <c:axId val="122632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247664"/>
        <c:crosses val="autoZero"/>
        <c:auto val="1"/>
        <c:lblAlgn val="ctr"/>
        <c:lblOffset val="100"/>
        <c:noMultiLvlLbl val="0"/>
      </c:catAx>
      <c:valAx>
        <c:axId val="203324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32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[StreamBharat_Churn_Analysis.xlsx]Churn Analysis Pivots!PivotTable6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Churn Rate by Device Type</a:t>
            </a:r>
            <a:endParaRPr lang="en-US" b="1"/>
          </a:p>
        </c:rich>
      </c:tx>
      <c:layout>
        <c:manualLayout>
          <c:xMode val="edge"/>
          <c:yMode val="edge"/>
          <c:x val="0.33414941688989908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 Pivots'!$B$52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7B6-4A9E-AF89-EBFD1D076D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7B6-4A9E-AF89-EBFD1D076DC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7B6-4A9E-AF89-EBFD1D076DC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7B6-4A9E-AF89-EBFD1D076DCF}"/>
              </c:ext>
            </c:extLst>
          </c:dPt>
          <c:cat>
            <c:strRef>
              <c:f>'Churn Analysis Pivots'!$A$53:$A$57</c:f>
              <c:strCache>
                <c:ptCount val="4"/>
                <c:pt idx="0">
                  <c:v>Laptop</c:v>
                </c:pt>
                <c:pt idx="1">
                  <c:v>Mobile</c:v>
                </c:pt>
                <c:pt idx="2">
                  <c:v>Smart TV</c:v>
                </c:pt>
                <c:pt idx="3">
                  <c:v>Tablet</c:v>
                </c:pt>
              </c:strCache>
            </c:strRef>
          </c:cat>
          <c:val>
            <c:numRef>
              <c:f>'Churn Analysis Pivots'!$B$53:$B$57</c:f>
              <c:numCache>
                <c:formatCode>General</c:formatCode>
                <c:ptCount val="4"/>
                <c:pt idx="0">
                  <c:v>41.67</c:v>
                </c:pt>
                <c:pt idx="1">
                  <c:v>45.65</c:v>
                </c:pt>
                <c:pt idx="2">
                  <c:v>44.01</c:v>
                </c:pt>
                <c:pt idx="3">
                  <c:v>44.08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7B6-4A9E-AF89-EBFD1D076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[StreamBharat_Churn_Analysis.xlsx]Churn Analysis Pivots!PivotTable9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Top 10 Cities by Churn Rate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 Pivots'!$B$69</c:f>
              <c:strCache>
                <c:ptCount val="1"/>
                <c:pt idx="0">
                  <c:v>Sum of total_subscriptions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 Pivots'!$A$70:$A$80</c:f>
              <c:strCache>
                <c:ptCount val="10"/>
                <c:pt idx="0">
                  <c:v>Chennai</c:v>
                </c:pt>
                <c:pt idx="1">
                  <c:v>Delhi</c:v>
                </c:pt>
                <c:pt idx="2">
                  <c:v>Gurgaon</c:v>
                </c:pt>
                <c:pt idx="3">
                  <c:v>Howrah</c:v>
                </c:pt>
                <c:pt idx="4">
                  <c:v>Indore</c:v>
                </c:pt>
                <c:pt idx="5">
                  <c:v>Lucknow</c:v>
                </c:pt>
                <c:pt idx="6">
                  <c:v>Mysuru</c:v>
                </c:pt>
                <c:pt idx="7">
                  <c:v>Nagpur</c:v>
                </c:pt>
                <c:pt idx="8">
                  <c:v>Patna</c:v>
                </c:pt>
                <c:pt idx="9">
                  <c:v>Surat</c:v>
                </c:pt>
              </c:strCache>
            </c:strRef>
          </c:cat>
          <c:val>
            <c:numRef>
              <c:f>'Churn Analysis Pivots'!$B$70:$B$80</c:f>
              <c:numCache>
                <c:formatCode>General</c:formatCode>
                <c:ptCount val="10"/>
                <c:pt idx="0">
                  <c:v>154</c:v>
                </c:pt>
                <c:pt idx="1">
                  <c:v>160</c:v>
                </c:pt>
                <c:pt idx="2">
                  <c:v>168</c:v>
                </c:pt>
                <c:pt idx="3">
                  <c:v>149</c:v>
                </c:pt>
                <c:pt idx="4">
                  <c:v>148</c:v>
                </c:pt>
                <c:pt idx="5">
                  <c:v>183</c:v>
                </c:pt>
                <c:pt idx="6">
                  <c:v>155</c:v>
                </c:pt>
                <c:pt idx="7">
                  <c:v>158</c:v>
                </c:pt>
                <c:pt idx="8">
                  <c:v>171</c:v>
                </c:pt>
                <c:pt idx="9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55-4F5E-95B2-FC6A4ADAD04A}"/>
            </c:ext>
          </c:extLst>
        </c:ser>
        <c:ser>
          <c:idx val="1"/>
          <c:order val="1"/>
          <c:tx>
            <c:strRef>
              <c:f>'Churn Analysis Pivots'!$C$69</c:f>
              <c:strCache>
                <c:ptCount val="1"/>
                <c:pt idx="0">
                  <c:v>Sum of churn_rate_pct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Analysis Pivots'!$A$70:$A$80</c:f>
              <c:strCache>
                <c:ptCount val="10"/>
                <c:pt idx="0">
                  <c:v>Chennai</c:v>
                </c:pt>
                <c:pt idx="1">
                  <c:v>Delhi</c:v>
                </c:pt>
                <c:pt idx="2">
                  <c:v>Gurgaon</c:v>
                </c:pt>
                <c:pt idx="3">
                  <c:v>Howrah</c:v>
                </c:pt>
                <c:pt idx="4">
                  <c:v>Indore</c:v>
                </c:pt>
                <c:pt idx="5">
                  <c:v>Lucknow</c:v>
                </c:pt>
                <c:pt idx="6">
                  <c:v>Mysuru</c:v>
                </c:pt>
                <c:pt idx="7">
                  <c:v>Nagpur</c:v>
                </c:pt>
                <c:pt idx="8">
                  <c:v>Patna</c:v>
                </c:pt>
                <c:pt idx="9">
                  <c:v>Surat</c:v>
                </c:pt>
              </c:strCache>
            </c:strRef>
          </c:cat>
          <c:val>
            <c:numRef>
              <c:f>'Churn Analysis Pivots'!$C$70:$C$80</c:f>
              <c:numCache>
                <c:formatCode>General</c:formatCode>
                <c:ptCount val="10"/>
                <c:pt idx="0">
                  <c:v>48.05</c:v>
                </c:pt>
                <c:pt idx="1">
                  <c:v>47.5</c:v>
                </c:pt>
                <c:pt idx="2">
                  <c:v>44.05</c:v>
                </c:pt>
                <c:pt idx="3">
                  <c:v>43.62</c:v>
                </c:pt>
                <c:pt idx="4">
                  <c:v>49.32</c:v>
                </c:pt>
                <c:pt idx="5">
                  <c:v>46.45</c:v>
                </c:pt>
                <c:pt idx="6">
                  <c:v>52.9</c:v>
                </c:pt>
                <c:pt idx="7">
                  <c:v>48.73</c:v>
                </c:pt>
                <c:pt idx="8">
                  <c:v>47.37</c:v>
                </c:pt>
                <c:pt idx="9">
                  <c:v>48.13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55-4F5E-95B2-FC6A4ADAD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5449951"/>
        <c:axId val="2033224144"/>
      </c:barChart>
      <c:catAx>
        <c:axId val="133544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224144"/>
        <c:crosses val="autoZero"/>
        <c:auto val="1"/>
        <c:lblAlgn val="ctr"/>
        <c:lblOffset val="100"/>
        <c:noMultiLvlLbl val="0"/>
      </c:catAx>
      <c:valAx>
        <c:axId val="20332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44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0</xdr:row>
      <xdr:rowOff>30480</xdr:rowOff>
    </xdr:from>
    <xdr:to>
      <xdr:col>9</xdr:col>
      <xdr:colOff>579120</xdr:colOff>
      <xdr:row>13</xdr:row>
      <xdr:rowOff>144780</xdr:rowOff>
    </xdr:to>
    <xdr:graphicFrame macro="">
      <xdr:nvGraphicFramePr>
        <xdr:cNvPr id="3" name="Churn Rate by Subscription Plan">
          <a:extLst>
            <a:ext uri="{FF2B5EF4-FFF2-40B4-BE49-F238E27FC236}">
              <a16:creationId xmlns:a16="http://schemas.microsoft.com/office/drawing/2014/main" id="{A930DB24-CD4B-464D-B077-23E002506B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601980</xdr:colOff>
      <xdr:row>15</xdr:row>
      <xdr:rowOff>0</xdr:rowOff>
    </xdr:from>
    <xdr:to>
      <xdr:col>9</xdr:col>
      <xdr:colOff>586740</xdr:colOff>
      <xdr:row>32</xdr:row>
      <xdr:rowOff>68580</xdr:rowOff>
    </xdr:to>
    <xdr:graphicFrame macro="">
      <xdr:nvGraphicFramePr>
        <xdr:cNvPr id="2" name="Why Are Subscribers Leaving?">
          <a:extLst>
            <a:ext uri="{FF2B5EF4-FFF2-40B4-BE49-F238E27FC236}">
              <a16:creationId xmlns:a16="http://schemas.microsoft.com/office/drawing/2014/main" id="{FE8AD005-5C39-48F8-A9E7-BC4AADE3C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22860</xdr:colOff>
      <xdr:row>33</xdr:row>
      <xdr:rowOff>175260</xdr:rowOff>
    </xdr:from>
    <xdr:to>
      <xdr:col>9</xdr:col>
      <xdr:colOff>563880</xdr:colOff>
      <xdr:row>48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DBC60B-6796-42E9-A4F5-4AFB62827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51</xdr:row>
      <xdr:rowOff>0</xdr:rowOff>
    </xdr:from>
    <xdr:to>
      <xdr:col>8</xdr:col>
      <xdr:colOff>297180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3CD275F-463C-4563-864C-8F9A3A00DA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68</xdr:row>
      <xdr:rowOff>0</xdr:rowOff>
    </xdr:from>
    <xdr:to>
      <xdr:col>8</xdr:col>
      <xdr:colOff>830580</xdr:colOff>
      <xdr:row>80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005E191-F838-4D3A-AF95-4AEA1B897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iraj Yadav" refreshedDate="46173.02774409722" createdVersion="8" refreshedVersion="8" minRefreshableVersion="3" recordCount="4" xr:uid="{2521A2E7-40DC-483D-BB79-F98E1A8910F9}">
  <cacheSource type="worksheet">
    <worksheetSource name="Q2_Churn_Rate_by_Subscription_Plan"/>
  </cacheSource>
  <cacheFields count="7">
    <cacheField name="plan_name" numFmtId="0">
      <sharedItems count="4">
        <s v="Mobile"/>
        <s v="Basic"/>
        <s v="Standard"/>
        <s v="Premium"/>
      </sharedItems>
    </cacheField>
    <cacheField name="plan_price_inr" numFmtId="0">
      <sharedItems containsSemiMixedTypes="0" containsString="0" containsNumber="1" containsInteger="1" minValue="149" maxValue="799"/>
    </cacheField>
    <cacheField name="total_subscriptions" numFmtId="0">
      <sharedItems containsSemiMixedTypes="0" containsString="0" containsNumber="1" containsInteger="1" minValue="594" maxValue="1276"/>
    </cacheField>
    <cacheField name="churned" numFmtId="0">
      <sharedItems containsSemiMixedTypes="0" containsString="0" containsNumber="1" containsInteger="1" minValue="143" maxValue="626"/>
    </cacheField>
    <cacheField name="active" numFmtId="0">
      <sharedItems containsSemiMixedTypes="0" containsString="0" containsNumber="1" containsInteger="1" minValue="439" maxValue="673"/>
    </cacheField>
    <cacheField name="churn_rate_pct" numFmtId="0">
      <sharedItems containsSemiMixedTypes="0" containsString="0" containsNumber="1" minValue="24.07" maxValue="54.82"/>
    </cacheField>
    <cacheField name="retention_rate_pct" numFmtId="0">
      <sharedItems containsSemiMixedTypes="0" containsString="0" containsNumber="1" minValue="45.18" maxValue="75.930000000000007"/>
    </cacheField>
  </cacheFields>
  <extLst>
    <ext xmlns:x14="http://schemas.microsoft.com/office/spreadsheetml/2009/9/main" uri="{725AE2AE-9491-48be-B2B4-4EB974FC3084}">
      <x14:pivotCacheDefinition pivotCacheId="52968315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iraj Yadav" refreshedDate="46173.490350578701" createdVersion="8" refreshedVersion="8" minRefreshableVersion="3" recordCount="9" xr:uid="{3DEDD2A3-20B7-4F23-B35C-1F14A08A775A}">
  <cacheSource type="worksheet">
    <worksheetSource name="Q3_Top_Churn_Reasons_with_Percentage__2"/>
  </cacheSource>
  <cacheFields count="3">
    <cacheField name="churn_reason" numFmtId="0">
      <sharedItems count="9">
        <s v="Frequent buffering issues"/>
        <s v="High subscription price"/>
        <s v="Switched to free platform"/>
        <s v="Found better OTT platform"/>
        <s v="Poor customer support"/>
        <s v="Poor regional content"/>
        <s v="No new content added"/>
        <s v="Technical issues with app"/>
        <s v="Unknown / Not Captured"/>
      </sharedItems>
    </cacheField>
    <cacheField name="total_churned" numFmtId="0">
      <sharedItems containsSemiMixedTypes="0" containsString="0" containsNumber="1" containsInteger="1" minValue="122" maxValue="224"/>
    </cacheField>
    <cacheField name="pct_of_total_churn" numFmtId="0">
      <sharedItems containsSemiMixedTypes="0" containsString="0" containsNumber="1" minValue="7.5" maxValue="13.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iraj Yadav" refreshedDate="46173.505167476855" createdVersion="8" refreshedVersion="8" minRefreshableVersion="3" recordCount="5" xr:uid="{E6018E9C-DBD0-47EF-AFA7-1A6E8AB46E9B}">
  <cacheSource type="worksheet">
    <worksheetSource name="Q4_Churn_by_Age_Group"/>
  </cacheSource>
  <cacheFields count="5">
    <cacheField name="age_group" numFmtId="0">
      <sharedItems count="5">
        <s v="Unknown Age"/>
        <s v="26-35 Millennials"/>
        <s v="46-60 Boomers"/>
        <s v="36-45 Gen X"/>
        <s v="18-25 Gen Z"/>
      </sharedItems>
    </cacheField>
    <cacheField name="total_subscriptions" numFmtId="0">
      <sharedItems containsSemiMixedTypes="0" containsString="0" containsNumber="1" containsInteger="1" minValue="69" maxValue="1237"/>
    </cacheField>
    <cacheField name="churned" numFmtId="0">
      <sharedItems containsSemiMixedTypes="0" containsString="0" containsNumber="1" containsInteger="1" minValue="35" maxValue="541"/>
    </cacheField>
    <cacheField name="churn_rate_pct" numFmtId="0">
      <sharedItems containsSemiMixedTypes="0" containsString="0" containsNumber="1" minValue="41.7" maxValue="50.72"/>
    </cacheField>
    <cacheField name="avg_ag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iraj Yadav" refreshedDate="46173.507469444441" createdVersion="8" refreshedVersion="8" minRefreshableVersion="3" recordCount="4" xr:uid="{99B45AAC-7D35-44A8-AE9D-7AE43861F85C}">
  <cacheSource type="worksheet">
    <worksheetSource name="Q6_Churn_by_Primary_Device"/>
  </cacheSource>
  <cacheFields count="5">
    <cacheField name="primary_device" numFmtId="0">
      <sharedItems count="4">
        <s v="Mobile"/>
        <s v="Tablet"/>
        <s v="Smart TV"/>
        <s v="Laptop"/>
      </sharedItems>
    </cacheField>
    <cacheField name="total_subscriptions" numFmtId="0">
      <sharedItems containsSemiMixedTypes="0" containsString="0" containsNumber="1" containsInteger="1" minValue="876" maxValue="955"/>
    </cacheField>
    <cacheField name="churned" numFmtId="0">
      <sharedItems containsSemiMixedTypes="0" containsString="0" containsNumber="1" containsInteger="1" minValue="365" maxValue="425"/>
    </cacheField>
    <cacheField name="churn_rate_pct" numFmtId="0">
      <sharedItems containsSemiMixedTypes="0" containsString="0" containsNumber="1" minValue="41.67" maxValue="45.65"/>
    </cacheField>
    <cacheField name="avg_tenure_months" numFmtId="0">
      <sharedItems containsSemiMixedTypes="0" containsString="0" containsNumber="1" minValue="5.9" maxValue="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iraj Yadav" refreshedDate="46173.510270833336" createdVersion="8" refreshedVersion="8" minRefreshableVersion="3" recordCount="10" xr:uid="{8EB15A08-D72E-4315-ADB2-3B78D4398BAF}">
  <cacheSource type="worksheet">
    <worksheetSource name="Q5a_Churn_by_City__Top_10"/>
  </cacheSource>
  <cacheFields count="5">
    <cacheField name="city" numFmtId="0">
      <sharedItems count="10">
        <s v="Mysuru"/>
        <s v="Indore"/>
        <s v="Nagpur"/>
        <s v="Surat"/>
        <s v="Chennai"/>
        <s v="Delhi"/>
        <s v="Patna"/>
        <s v="Lucknow"/>
        <s v="Gurgaon"/>
        <s v="Howrah"/>
      </sharedItems>
    </cacheField>
    <cacheField name="state" numFmtId="0">
      <sharedItems count="10">
        <s v="Karnataka"/>
        <s v="Madhya Pradesh"/>
        <s v="Maharashtra"/>
        <s v="Gujarat"/>
        <s v="Tamil Nadu"/>
        <s v="Delhi"/>
        <s v="Bihar"/>
        <s v="Uttar Pradesh"/>
        <s v="Haryana"/>
        <s v="West Bengal"/>
      </sharedItems>
    </cacheField>
    <cacheField name="total_subscriptions" numFmtId="0">
      <sharedItems containsSemiMixedTypes="0" containsString="0" containsNumber="1" containsInteger="1" minValue="148" maxValue="183"/>
    </cacheField>
    <cacheField name="churned" numFmtId="0">
      <sharedItems containsSemiMixedTypes="0" containsString="0" containsNumber="1" containsInteger="1" minValue="65" maxValue="85"/>
    </cacheField>
    <cacheField name="churn_rate_pct" numFmtId="0">
      <sharedItems containsSemiMixedTypes="0" containsString="0" containsNumber="1" minValue="43.62" maxValue="52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49"/>
    <n v="1142"/>
    <n v="626"/>
    <n v="516"/>
    <n v="54.82"/>
    <n v="45.18"/>
  </r>
  <r>
    <x v="1"/>
    <n v="299"/>
    <n v="1276"/>
    <n v="603"/>
    <n v="673"/>
    <n v="47.26"/>
    <n v="52.74"/>
  </r>
  <r>
    <x v="2"/>
    <n v="499"/>
    <n v="693"/>
    <n v="254"/>
    <n v="439"/>
    <n v="36.65"/>
    <n v="63.35"/>
  </r>
  <r>
    <x v="3"/>
    <n v="799"/>
    <n v="594"/>
    <n v="143"/>
    <n v="451"/>
    <n v="24.07"/>
    <n v="75.93000000000000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n v="224"/>
    <n v="13.78"/>
  </r>
  <r>
    <x v="1"/>
    <n v="206"/>
    <n v="12.67"/>
  </r>
  <r>
    <x v="2"/>
    <n v="199"/>
    <n v="12.24"/>
  </r>
  <r>
    <x v="3"/>
    <n v="188"/>
    <n v="11.56"/>
  </r>
  <r>
    <x v="4"/>
    <n v="186"/>
    <n v="11.44"/>
  </r>
  <r>
    <x v="5"/>
    <n v="184"/>
    <n v="11.32"/>
  </r>
  <r>
    <x v="6"/>
    <n v="169"/>
    <n v="10.39"/>
  </r>
  <r>
    <x v="7"/>
    <n v="148"/>
    <n v="9.1"/>
  </r>
  <r>
    <x v="8"/>
    <n v="122"/>
    <n v="7.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69"/>
    <n v="35"/>
    <n v="50.72"/>
    <s v="NULL"/>
  </r>
  <r>
    <x v="1"/>
    <n v="835"/>
    <n v="387"/>
    <n v="46.35"/>
    <s v="30.5"/>
  </r>
  <r>
    <x v="2"/>
    <n v="1237"/>
    <n v="541"/>
    <n v="43.73"/>
    <s v="53.0"/>
  </r>
  <r>
    <x v="3"/>
    <n v="883"/>
    <n v="379"/>
    <n v="42.92"/>
    <s v="40.6"/>
  </r>
  <r>
    <x v="4"/>
    <n v="681"/>
    <n v="284"/>
    <n v="41.7"/>
    <s v="21.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931"/>
    <n v="425"/>
    <n v="45.65"/>
    <n v="6.4"/>
  </r>
  <r>
    <x v="1"/>
    <n v="955"/>
    <n v="421"/>
    <n v="44.08"/>
    <n v="5.9"/>
  </r>
  <r>
    <x v="2"/>
    <n v="943"/>
    <n v="415"/>
    <n v="44.01"/>
    <n v="6.2"/>
  </r>
  <r>
    <x v="3"/>
    <n v="876"/>
    <n v="365"/>
    <n v="41.67"/>
    <n v="6.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155"/>
    <n v="82"/>
    <n v="52.9"/>
  </r>
  <r>
    <x v="1"/>
    <x v="1"/>
    <n v="148"/>
    <n v="73"/>
    <n v="49.32"/>
  </r>
  <r>
    <x v="2"/>
    <x v="2"/>
    <n v="158"/>
    <n v="77"/>
    <n v="48.73"/>
  </r>
  <r>
    <x v="3"/>
    <x v="3"/>
    <n v="160"/>
    <n v="77"/>
    <n v="48.13"/>
  </r>
  <r>
    <x v="4"/>
    <x v="4"/>
    <n v="154"/>
    <n v="74"/>
    <n v="48.05"/>
  </r>
  <r>
    <x v="5"/>
    <x v="5"/>
    <n v="160"/>
    <n v="76"/>
    <n v="47.5"/>
  </r>
  <r>
    <x v="6"/>
    <x v="6"/>
    <n v="171"/>
    <n v="81"/>
    <n v="47.37"/>
  </r>
  <r>
    <x v="7"/>
    <x v="7"/>
    <n v="183"/>
    <n v="85"/>
    <n v="46.45"/>
  </r>
  <r>
    <x v="8"/>
    <x v="8"/>
    <n v="168"/>
    <n v="74"/>
    <n v="44.05"/>
  </r>
  <r>
    <x v="9"/>
    <x v="9"/>
    <n v="149"/>
    <n v="65"/>
    <n v="43.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D4F845-C18F-4E74-88BE-223737E9312E}" name="PivotTable9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69:C80" firstHeaderRow="0" firstDataRow="1" firstDataCol="1"/>
  <pivotFields count="5">
    <pivotField axis="axisRow" showAll="0" measureFilter="1">
      <items count="11">
        <item x="4"/>
        <item x="5"/>
        <item x="8"/>
        <item x="9"/>
        <item x="1"/>
        <item x="7"/>
        <item x="0"/>
        <item x="2"/>
        <item x="6"/>
        <item x="3"/>
        <item t="default"/>
      </items>
    </pivotField>
    <pivotField showAll="0">
      <items count="11">
        <item x="6"/>
        <item x="5"/>
        <item x="3"/>
        <item x="8"/>
        <item x="0"/>
        <item x="1"/>
        <item x="2"/>
        <item x="4"/>
        <item x="7"/>
        <item x="9"/>
        <item t="default"/>
      </items>
    </pivotField>
    <pivotField dataField="1" showAll="0"/>
    <pivotField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ubscriptions" fld="2" baseField="0" baseItem="0"/>
    <dataField name="Sum of churn_rate_pct" fld="4" baseField="0" baseItem="0"/>
  </dataField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3" iMeasureFld="1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08B453-7BFB-408E-A122-FDF7F085FF4E}" name="PivotTable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52:B57" firstHeaderRow="1" firstDataRow="1" firstDataCol="1"/>
  <pivotFields count="5"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hurn_rate_pct" fld="3" baseField="0" baseItem="0"/>
  </dataFields>
  <chartFormats count="5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24D47E-A047-48D3-A5F1-EF8138FBFCC8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5:D41" firstHeaderRow="0" firstDataRow="1" firstDataCol="1"/>
  <pivotFields count="5">
    <pivotField axis="axisRow" showAll="0">
      <items count="6">
        <item x="4"/>
        <item x="1"/>
        <item x="3"/>
        <item x="2"/>
        <item x="0"/>
        <item t="default"/>
      </items>
    </pivotField>
    <pivotField dataField="1" showAll="0"/>
    <pivotField dataField="1" showAll="0"/>
    <pivotField dataField="1"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subscriptions" fld="1" baseField="0" baseItem="0"/>
    <dataField name="Sum of churned" fld="2" baseField="0" baseItem="0"/>
    <dataField name="Sum of churn_rate_pct" fld="3" baseField="0" baseItem="0"/>
  </dataFields>
  <chartFormats count="3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3720F9-4245-4169-9734-36AD187DDFA8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17:C27" firstHeaderRow="0" firstDataRow="1" firstDataCol="1"/>
  <pivotFields count="3">
    <pivotField axis="axisRow" showAll="0" sortType="descending">
      <items count="10">
        <item x="3"/>
        <item x="0"/>
        <item x="1"/>
        <item x="6"/>
        <item x="4"/>
        <item x="5"/>
        <item x="2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dataField="1" showAll="0"/>
  </pivotFields>
  <rowFields count="1">
    <field x="0"/>
  </rowFields>
  <rowItems count="10">
    <i>
      <x v="1"/>
    </i>
    <i>
      <x v="2"/>
    </i>
    <i>
      <x v="6"/>
    </i>
    <i>
      <x/>
    </i>
    <i>
      <x v="4"/>
    </i>
    <i>
      <x v="5"/>
    </i>
    <i>
      <x v="3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churned" fld="1" baseField="0" baseItem="0"/>
    <dataField name="Sum of pct_of_total_churn" fld="2" baseField="0" baseItem="0"/>
  </dataFields>
  <chartFormats count="2"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7F6320-158F-40D0-8B60-1A59E1112EFB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1:D6" firstHeaderRow="0" firstDataRow="1" firstDataCol="1"/>
  <pivotFields count="7"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dataField="1" showAll="0"/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subscriptions" fld="2" baseField="0" baseItem="0"/>
    <dataField name="Sum of churned" fld="3" baseField="0" baseItem="0"/>
    <dataField name="Average of churn_rate_pct" fld="5" subtotal="average" baseField="0" baseItem="0"/>
  </dataFields>
  <chartFormats count="3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59299A4-0743-4F69-A055-F47119B83B65}" autoFormatId="16" applyNumberFormats="0" applyBorderFormats="0" applyFontFormats="0" applyPatternFormats="0" applyAlignmentFormats="0" applyWidthHeightFormats="0">
  <queryTableRefresh nextId="19" unboundColumnsRight="3">
    <queryTableFields count="18">
      <queryTableField id="1" name="customer_id" tableColumnId="1"/>
      <queryTableField id="2" name="customer_name" tableColumnId="2"/>
      <queryTableField id="3" name="city" tableColumnId="3"/>
      <queryTableField id="4" name="state" tableColumnId="4"/>
      <queryTableField id="5" name="primary_device" tableColumnId="5"/>
      <queryTableField id="6" name="plan_name" tableColumnId="6"/>
      <queryTableField id="7" name="monthly_price_inr" tableColumnId="7"/>
      <queryTableField id="8" name="tenure_months" tableColumnId="8"/>
      <queryTableField id="9" name="avg_daily_watch_hrs" tableColumnId="9"/>
      <queryTableField id="10" name="sessions_per_week" tableColumnId="10"/>
      <queryTableField id="11" name="days_since_last_login" tableColumnId="11"/>
      <queryTableField id="12" name="completion_rate_pct" tableColumnId="12"/>
      <queryTableField id="13" name="failed_payments" tableColumnId="13"/>
      <queryTableField id="14" name="risk_score" tableColumnId="14"/>
      <queryTableField id="15" name="risk_level" tableColumnId="15"/>
      <queryTableField id="16" dataBound="0" tableColumnId="16"/>
      <queryTableField id="17" dataBound="0" tableColumnId="17"/>
      <queryTableField id="18" dataBound="0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1EC36F-77C7-47FD-A2D9-AFE4A5629DDC}" name="Q12_High_Risk_Active_Customer_List4" displayName="Q12_High_Risk_Active_Customer_List4" ref="A5:R10" tableType="queryTable" totalsRowShown="0">
  <autoFilter ref="A5:R10" xr:uid="{B91EC36F-77C7-47FD-A2D9-AFE4A5629DDC}"/>
  <tableColumns count="18">
    <tableColumn id="1" xr3:uid="{FC7F96F7-55EF-42F9-8F99-ADC2309D984E}" uniqueName="1" name="customer_id" queryTableFieldId="1" dataDxfId="7"/>
    <tableColumn id="2" xr3:uid="{B8D6213E-6A2E-42ED-8EC3-02BCEAFC0080}" uniqueName="2" name="customer_name" queryTableFieldId="2" dataDxfId="6"/>
    <tableColumn id="3" xr3:uid="{280510C5-5C3A-49EF-8DD6-5646DB3E6B91}" uniqueName="3" name="city" queryTableFieldId="3" dataDxfId="5"/>
    <tableColumn id="4" xr3:uid="{24371C85-21FD-4A09-960D-FBC14D162677}" uniqueName="4" name="state" queryTableFieldId="4" dataDxfId="4"/>
    <tableColumn id="5" xr3:uid="{0E6DD9DE-41CA-41A2-AC63-A5C8D93B5ACD}" uniqueName="5" name="primary_device" queryTableFieldId="5" dataDxfId="3"/>
    <tableColumn id="6" xr3:uid="{5BDC8BCA-D141-49CF-BF91-7DCEC30EA815}" uniqueName="6" name="plan_name" queryTableFieldId="6" dataDxfId="2"/>
    <tableColumn id="7" xr3:uid="{14072219-94C6-4F86-B484-27609325E9B8}" uniqueName="7" name="monthly_price_inr" queryTableFieldId="7"/>
    <tableColumn id="8" xr3:uid="{CEF8A5B8-3EA5-431C-8C33-AEA0033FB7E8}" uniqueName="8" name="tenure_months" queryTableFieldId="8"/>
    <tableColumn id="9" xr3:uid="{394FC9F2-2248-4DA9-B6BB-35B7B679ECD3}" uniqueName="9" name="avg_daily_watch_hrs" queryTableFieldId="9"/>
    <tableColumn id="10" xr3:uid="{DF989F1B-DAF1-4CCF-BFDC-DD96CC2E144F}" uniqueName="10" name="sessions_per_week" queryTableFieldId="10"/>
    <tableColumn id="11" xr3:uid="{634AEEDB-D39B-4501-9133-73039065C331}" uniqueName="11" name="days_since_last_login" queryTableFieldId="11"/>
    <tableColumn id="12" xr3:uid="{E72C33BF-0021-4188-907A-A7F8086F2021}" uniqueName="12" name="completion_rate_pct" queryTableFieldId="12"/>
    <tableColumn id="13" xr3:uid="{F85E74CA-AABC-4204-9B8F-15F54BDCB2F5}" uniqueName="13" name="failed_payments" queryTableFieldId="13"/>
    <tableColumn id="14" xr3:uid="{AFE80159-0310-43B6-9540-73394EE2711C}" uniqueName="14" name="risk_score" queryTableFieldId="14"/>
    <tableColumn id="15" xr3:uid="{65C38D2B-F7E3-40E8-858D-F301A9FFE921}" uniqueName="15" name="risk_level" queryTableFieldId="15" dataDxfId="1"/>
    <tableColumn id="16" xr3:uid="{B1C033CA-4EDE-4295-BD75-79C9782CE2B8}" uniqueName="16" name="Recommended Action" queryTableFieldId="16" dataDxfId="0">
      <calculatedColumnFormula>IF(O6="CRITICAL","Immediate retention call + 1 month free offer",
 IF(O6="HIGH","Send personalised re-engagement email",
 IF(O6="MEDIUM","Push notification with new content","Monitor only")))</calculatedColumnFormula>
    </tableColumn>
    <tableColumn id="17" xr3:uid="{100C5DB3-AD32-4B23-B67B-C6E624C5B654}" uniqueName="17" name="Revenue at Risk (₹/month)" queryTableFieldId="17" dataDxfId="9">
      <calculatedColumnFormula>Q12_High_Risk_Active_Customer_List4[[#This Row],[monthly_price_inr]]</calculatedColumnFormula>
    </tableColumn>
    <tableColumn id="18" xr3:uid="{30E3D095-2D05-4BE8-8299-453154737D0E}" uniqueName="18" name="Priority Rank" queryTableFieldId="18" dataDxfId="8">
      <calculatedColumnFormula>IF(O6="CRITICAL",1,IF(P6="HIGH",2,3))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5EDBE-34AF-49D8-9134-ECEE4D16B240}">
  <sheetPr>
    <tabColor rgb="FF00B0F0"/>
  </sheetPr>
  <dimension ref="A1:C17"/>
  <sheetViews>
    <sheetView showGridLines="0" zoomScale="150" zoomScaleNormal="150" workbookViewId="0">
      <pane ySplit="1" topLeftCell="A2" activePane="bottomLeft" state="frozen"/>
      <selection pane="bottomLeft" activeCell="D4" sqref="D4"/>
    </sheetView>
  </sheetViews>
  <sheetFormatPr defaultRowHeight="14.4" x14ac:dyDescent="0.3"/>
  <cols>
    <col min="1" max="1" width="44.109375" bestFit="1" customWidth="1"/>
    <col min="2" max="2" width="36.5546875" bestFit="1" customWidth="1"/>
    <col min="3" max="3" width="13.77734375" bestFit="1" customWidth="1"/>
  </cols>
  <sheetData>
    <row r="1" spans="1:3" ht="21" x14ac:dyDescent="0.4">
      <c r="A1" s="10" t="s">
        <v>59</v>
      </c>
      <c r="B1" s="10"/>
      <c r="C1" s="10"/>
    </row>
    <row r="2" spans="1:3" x14ac:dyDescent="0.3">
      <c r="A2" s="11" t="s">
        <v>0</v>
      </c>
      <c r="B2" s="11"/>
      <c r="C2" s="11"/>
    </row>
    <row r="3" spans="1:3" x14ac:dyDescent="0.3">
      <c r="A3" s="12" t="s">
        <v>58</v>
      </c>
      <c r="B3" s="12"/>
      <c r="C3" s="12"/>
    </row>
    <row r="5" spans="1:3" ht="21" x14ac:dyDescent="0.4">
      <c r="A5" s="6" t="s">
        <v>1</v>
      </c>
      <c r="B5" s="6" t="s">
        <v>60</v>
      </c>
      <c r="C5" s="6" t="s">
        <v>2</v>
      </c>
    </row>
    <row r="6" spans="1:3" x14ac:dyDescent="0.3">
      <c r="A6" s="8" t="s">
        <v>3</v>
      </c>
      <c r="B6" s="1">
        <v>3705</v>
      </c>
      <c r="C6" s="1" t="s">
        <v>4</v>
      </c>
    </row>
    <row r="7" spans="1:3" x14ac:dyDescent="0.3">
      <c r="A7" s="8" t="s">
        <v>5</v>
      </c>
      <c r="B7" s="1">
        <v>1626</v>
      </c>
      <c r="C7" s="1" t="s">
        <v>4</v>
      </c>
    </row>
    <row r="8" spans="1:3" x14ac:dyDescent="0.3">
      <c r="A8" s="8" t="s">
        <v>6</v>
      </c>
      <c r="B8" s="1">
        <v>2079</v>
      </c>
      <c r="C8" s="1" t="s">
        <v>4</v>
      </c>
    </row>
    <row r="9" spans="1:3" x14ac:dyDescent="0.3">
      <c r="A9" s="8" t="s">
        <v>61</v>
      </c>
      <c r="B9" s="2">
        <v>0.43890000000000001</v>
      </c>
      <c r="C9" s="7" t="s">
        <v>64</v>
      </c>
    </row>
    <row r="10" spans="1:3" x14ac:dyDescent="0.3">
      <c r="A10" s="8" t="s">
        <v>62</v>
      </c>
      <c r="B10" s="2">
        <v>0.56110000000000004</v>
      </c>
      <c r="C10" s="7" t="s">
        <v>65</v>
      </c>
    </row>
    <row r="11" spans="1:3" x14ac:dyDescent="0.3">
      <c r="A11" s="8" t="s">
        <v>63</v>
      </c>
      <c r="B11" s="9">
        <v>857521</v>
      </c>
      <c r="C11" s="5" t="s">
        <v>66</v>
      </c>
    </row>
    <row r="12" spans="1:3" x14ac:dyDescent="0.3">
      <c r="A12" s="8" t="s">
        <v>7</v>
      </c>
      <c r="B12" s="9">
        <v>514574</v>
      </c>
      <c r="C12" s="7" t="s">
        <v>67</v>
      </c>
    </row>
    <row r="13" spans="1:3" x14ac:dyDescent="0.3">
      <c r="A13" s="8" t="s">
        <v>8</v>
      </c>
      <c r="B13" s="2">
        <v>0.375</v>
      </c>
      <c r="C13" s="1" t="s">
        <v>4</v>
      </c>
    </row>
    <row r="14" spans="1:3" x14ac:dyDescent="0.3">
      <c r="A14" s="8" t="s">
        <v>9</v>
      </c>
      <c r="B14" s="1" t="s">
        <v>56</v>
      </c>
      <c r="C14" s="1" t="s">
        <v>4</v>
      </c>
    </row>
    <row r="15" spans="1:3" x14ac:dyDescent="0.3">
      <c r="A15" s="8" t="s">
        <v>10</v>
      </c>
      <c r="B15" s="1" t="s">
        <v>57</v>
      </c>
      <c r="C15" s="1" t="s">
        <v>4</v>
      </c>
    </row>
    <row r="16" spans="1:3" x14ac:dyDescent="0.3">
      <c r="A16" s="8" t="s">
        <v>11</v>
      </c>
      <c r="B16" s="1" t="s">
        <v>13</v>
      </c>
      <c r="C16" s="1" t="s">
        <v>4</v>
      </c>
    </row>
    <row r="17" spans="1:3" x14ac:dyDescent="0.3">
      <c r="A17" s="8" t="s">
        <v>12</v>
      </c>
      <c r="B17" s="1">
        <v>5</v>
      </c>
      <c r="C17" s="1" t="s">
        <v>4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3771A-8129-4A15-8DD8-F7B65C238015}">
  <sheetPr>
    <tabColor rgb="FF00B050"/>
  </sheetPr>
  <dimension ref="A1:D80"/>
  <sheetViews>
    <sheetView showGridLines="0" workbookViewId="0">
      <selection activeCell="A12" sqref="A12"/>
    </sheetView>
  </sheetViews>
  <sheetFormatPr defaultRowHeight="14.4" x14ac:dyDescent="0.3"/>
  <cols>
    <col min="1" max="1" width="12.44140625" bestFit="1" customWidth="1"/>
    <col min="2" max="2" width="19.5546875" bestFit="1" customWidth="1"/>
    <col min="3" max="3" width="22.5546875" bestFit="1" customWidth="1"/>
    <col min="4" max="4" width="22.44140625" bestFit="1" customWidth="1"/>
    <col min="7" max="7" width="22" bestFit="1" customWidth="1"/>
    <col min="8" max="8" width="18.6640625" bestFit="1" customWidth="1"/>
    <col min="9" max="9" width="22.5546875" bestFit="1" customWidth="1"/>
  </cols>
  <sheetData>
    <row r="1" spans="1:4" x14ac:dyDescent="0.3">
      <c r="A1" s="3" t="s">
        <v>51</v>
      </c>
      <c r="B1" t="s">
        <v>53</v>
      </c>
      <c r="C1" t="s">
        <v>54</v>
      </c>
      <c r="D1" t="s">
        <v>55</v>
      </c>
    </row>
    <row r="2" spans="1:4" x14ac:dyDescent="0.3">
      <c r="A2" s="4" t="s">
        <v>15</v>
      </c>
      <c r="B2" s="13">
        <v>1276</v>
      </c>
      <c r="C2" s="13">
        <v>603</v>
      </c>
      <c r="D2" s="13">
        <v>47.26</v>
      </c>
    </row>
    <row r="3" spans="1:4" x14ac:dyDescent="0.3">
      <c r="A3" s="4" t="s">
        <v>14</v>
      </c>
      <c r="B3" s="13">
        <v>1142</v>
      </c>
      <c r="C3" s="13">
        <v>626</v>
      </c>
      <c r="D3" s="13">
        <v>54.82</v>
      </c>
    </row>
    <row r="4" spans="1:4" x14ac:dyDescent="0.3">
      <c r="A4" s="4" t="s">
        <v>17</v>
      </c>
      <c r="B4" s="13">
        <v>594</v>
      </c>
      <c r="C4" s="13">
        <v>143</v>
      </c>
      <c r="D4" s="13">
        <v>24.07</v>
      </c>
    </row>
    <row r="5" spans="1:4" x14ac:dyDescent="0.3">
      <c r="A5" s="4" t="s">
        <v>16</v>
      </c>
      <c r="B5" s="13">
        <v>693</v>
      </c>
      <c r="C5" s="13">
        <v>254</v>
      </c>
      <c r="D5" s="13">
        <v>36.65</v>
      </c>
    </row>
    <row r="6" spans="1:4" x14ac:dyDescent="0.3">
      <c r="A6" s="4" t="s">
        <v>52</v>
      </c>
      <c r="B6" s="13">
        <v>3705</v>
      </c>
      <c r="C6" s="13">
        <v>1626</v>
      </c>
      <c r="D6" s="13">
        <v>40.700000000000003</v>
      </c>
    </row>
    <row r="17" spans="1:3" x14ac:dyDescent="0.3">
      <c r="A17" s="3" t="s">
        <v>51</v>
      </c>
      <c r="B17" t="s">
        <v>68</v>
      </c>
      <c r="C17" t="s">
        <v>69</v>
      </c>
    </row>
    <row r="18" spans="1:3" x14ac:dyDescent="0.3">
      <c r="A18" s="4" t="s">
        <v>13</v>
      </c>
      <c r="B18" s="13">
        <v>224</v>
      </c>
      <c r="C18" s="13">
        <v>13.78</v>
      </c>
    </row>
    <row r="19" spans="1:3" x14ac:dyDescent="0.3">
      <c r="A19" s="4" t="s">
        <v>18</v>
      </c>
      <c r="B19" s="13">
        <v>206</v>
      </c>
      <c r="C19" s="13">
        <v>12.67</v>
      </c>
    </row>
    <row r="20" spans="1:3" x14ac:dyDescent="0.3">
      <c r="A20" s="4" t="s">
        <v>19</v>
      </c>
      <c r="B20" s="13">
        <v>199</v>
      </c>
      <c r="C20" s="13">
        <v>12.24</v>
      </c>
    </row>
    <row r="21" spans="1:3" x14ac:dyDescent="0.3">
      <c r="A21" s="4" t="s">
        <v>20</v>
      </c>
      <c r="B21" s="13">
        <v>188</v>
      </c>
      <c r="C21" s="13">
        <v>11.56</v>
      </c>
    </row>
    <row r="22" spans="1:3" x14ac:dyDescent="0.3">
      <c r="A22" s="4" t="s">
        <v>21</v>
      </c>
      <c r="B22" s="13">
        <v>186</v>
      </c>
      <c r="C22" s="13">
        <v>11.44</v>
      </c>
    </row>
    <row r="23" spans="1:3" x14ac:dyDescent="0.3">
      <c r="A23" s="4" t="s">
        <v>22</v>
      </c>
      <c r="B23" s="13">
        <v>184</v>
      </c>
      <c r="C23" s="13">
        <v>11.32</v>
      </c>
    </row>
    <row r="24" spans="1:3" x14ac:dyDescent="0.3">
      <c r="A24" s="4" t="s">
        <v>23</v>
      </c>
      <c r="B24" s="13">
        <v>169</v>
      </c>
      <c r="C24" s="13">
        <v>10.39</v>
      </c>
    </row>
    <row r="25" spans="1:3" x14ac:dyDescent="0.3">
      <c r="A25" s="4" t="s">
        <v>24</v>
      </c>
      <c r="B25" s="13">
        <v>148</v>
      </c>
      <c r="C25" s="13">
        <v>9.1</v>
      </c>
    </row>
    <row r="26" spans="1:3" x14ac:dyDescent="0.3">
      <c r="A26" s="4" t="s">
        <v>25</v>
      </c>
      <c r="B26" s="13">
        <v>122</v>
      </c>
      <c r="C26" s="13">
        <v>7.5</v>
      </c>
    </row>
    <row r="27" spans="1:3" x14ac:dyDescent="0.3">
      <c r="A27" s="4" t="s">
        <v>52</v>
      </c>
      <c r="B27" s="13">
        <v>1626</v>
      </c>
      <c r="C27" s="13">
        <v>99.999999999999986</v>
      </c>
    </row>
    <row r="35" spans="1:4" x14ac:dyDescent="0.3">
      <c r="A35" s="3" t="s">
        <v>51</v>
      </c>
      <c r="B35" t="s">
        <v>53</v>
      </c>
      <c r="C35" t="s">
        <v>54</v>
      </c>
      <c r="D35" t="s">
        <v>70</v>
      </c>
    </row>
    <row r="36" spans="1:4" x14ac:dyDescent="0.3">
      <c r="A36" s="4" t="s">
        <v>30</v>
      </c>
      <c r="B36" s="13">
        <v>681</v>
      </c>
      <c r="C36" s="13">
        <v>284</v>
      </c>
      <c r="D36" s="13">
        <v>41.7</v>
      </c>
    </row>
    <row r="37" spans="1:4" x14ac:dyDescent="0.3">
      <c r="A37" s="4" t="s">
        <v>27</v>
      </c>
      <c r="B37" s="13">
        <v>835</v>
      </c>
      <c r="C37" s="13">
        <v>387</v>
      </c>
      <c r="D37" s="13">
        <v>46.35</v>
      </c>
    </row>
    <row r="38" spans="1:4" x14ac:dyDescent="0.3">
      <c r="A38" s="4" t="s">
        <v>29</v>
      </c>
      <c r="B38" s="13">
        <v>883</v>
      </c>
      <c r="C38" s="13">
        <v>379</v>
      </c>
      <c r="D38" s="13">
        <v>42.92</v>
      </c>
    </row>
    <row r="39" spans="1:4" x14ac:dyDescent="0.3">
      <c r="A39" s="4" t="s">
        <v>28</v>
      </c>
      <c r="B39" s="13">
        <v>1237</v>
      </c>
      <c r="C39" s="13">
        <v>541</v>
      </c>
      <c r="D39" s="13">
        <v>43.73</v>
      </c>
    </row>
    <row r="40" spans="1:4" x14ac:dyDescent="0.3">
      <c r="A40" s="4" t="s">
        <v>26</v>
      </c>
      <c r="B40" s="13">
        <v>69</v>
      </c>
      <c r="C40" s="13">
        <v>35</v>
      </c>
      <c r="D40" s="13">
        <v>50.72</v>
      </c>
    </row>
    <row r="41" spans="1:4" x14ac:dyDescent="0.3">
      <c r="A41" s="4" t="s">
        <v>52</v>
      </c>
      <c r="B41" s="13">
        <v>3705</v>
      </c>
      <c r="C41" s="13">
        <v>1626</v>
      </c>
      <c r="D41" s="13">
        <v>225.42000000000002</v>
      </c>
    </row>
    <row r="52" spans="1:2" x14ac:dyDescent="0.3">
      <c r="A52" s="3" t="s">
        <v>51</v>
      </c>
      <c r="B52" t="s">
        <v>70</v>
      </c>
    </row>
    <row r="53" spans="1:2" x14ac:dyDescent="0.3">
      <c r="A53" s="4" t="s">
        <v>50</v>
      </c>
      <c r="B53" s="13">
        <v>41.67</v>
      </c>
    </row>
    <row r="54" spans="1:2" x14ac:dyDescent="0.3">
      <c r="A54" s="4" t="s">
        <v>14</v>
      </c>
      <c r="B54" s="13">
        <v>45.65</v>
      </c>
    </row>
    <row r="55" spans="1:2" x14ac:dyDescent="0.3">
      <c r="A55" s="4" t="s">
        <v>49</v>
      </c>
      <c r="B55" s="13">
        <v>44.01</v>
      </c>
    </row>
    <row r="56" spans="1:2" x14ac:dyDescent="0.3">
      <c r="A56" s="4" t="s">
        <v>48</v>
      </c>
      <c r="B56" s="13">
        <v>44.08</v>
      </c>
    </row>
    <row r="57" spans="1:2" x14ac:dyDescent="0.3">
      <c r="A57" s="4" t="s">
        <v>52</v>
      </c>
      <c r="B57" s="13">
        <v>175.40999999999997</v>
      </c>
    </row>
    <row r="69" spans="1:3" x14ac:dyDescent="0.3">
      <c r="A69" s="3" t="s">
        <v>51</v>
      </c>
      <c r="B69" t="s">
        <v>53</v>
      </c>
      <c r="C69" t="s">
        <v>70</v>
      </c>
    </row>
    <row r="70" spans="1:3" x14ac:dyDescent="0.3">
      <c r="A70" s="4" t="s">
        <v>39</v>
      </c>
      <c r="B70" s="13">
        <v>154</v>
      </c>
      <c r="C70" s="13">
        <v>48.05</v>
      </c>
    </row>
    <row r="71" spans="1:3" x14ac:dyDescent="0.3">
      <c r="A71" s="4" t="s">
        <v>41</v>
      </c>
      <c r="B71" s="13">
        <v>160</v>
      </c>
      <c r="C71" s="13">
        <v>47.5</v>
      </c>
    </row>
    <row r="72" spans="1:3" x14ac:dyDescent="0.3">
      <c r="A72" s="4" t="s">
        <v>45</v>
      </c>
      <c r="B72" s="13">
        <v>168</v>
      </c>
      <c r="C72" s="13">
        <v>44.05</v>
      </c>
    </row>
    <row r="73" spans="1:3" x14ac:dyDescent="0.3">
      <c r="A73" s="4" t="s">
        <v>46</v>
      </c>
      <c r="B73" s="13">
        <v>149</v>
      </c>
      <c r="C73" s="13">
        <v>43.62</v>
      </c>
    </row>
    <row r="74" spans="1:3" x14ac:dyDescent="0.3">
      <c r="A74" s="4" t="s">
        <v>34</v>
      </c>
      <c r="B74" s="13">
        <v>148</v>
      </c>
      <c r="C74" s="13">
        <v>49.32</v>
      </c>
    </row>
    <row r="75" spans="1:3" x14ac:dyDescent="0.3">
      <c r="A75" s="4" t="s">
        <v>43</v>
      </c>
      <c r="B75" s="13">
        <v>183</v>
      </c>
      <c r="C75" s="13">
        <v>46.45</v>
      </c>
    </row>
    <row r="76" spans="1:3" x14ac:dyDescent="0.3">
      <c r="A76" s="4" t="s">
        <v>33</v>
      </c>
      <c r="B76" s="13">
        <v>155</v>
      </c>
      <c r="C76" s="13">
        <v>52.9</v>
      </c>
    </row>
    <row r="77" spans="1:3" x14ac:dyDescent="0.3">
      <c r="A77" s="4" t="s">
        <v>36</v>
      </c>
      <c r="B77" s="13">
        <v>158</v>
      </c>
      <c r="C77" s="13">
        <v>48.73</v>
      </c>
    </row>
    <row r="78" spans="1:3" x14ac:dyDescent="0.3">
      <c r="A78" s="4" t="s">
        <v>42</v>
      </c>
      <c r="B78" s="13">
        <v>171</v>
      </c>
      <c r="C78" s="13">
        <v>47.37</v>
      </c>
    </row>
    <row r="79" spans="1:3" x14ac:dyDescent="0.3">
      <c r="A79" s="4" t="s">
        <v>37</v>
      </c>
      <c r="B79" s="13">
        <v>160</v>
      </c>
      <c r="C79" s="13">
        <v>48.13</v>
      </c>
    </row>
    <row r="80" spans="1:3" x14ac:dyDescent="0.3">
      <c r="A80" s="4" t="s">
        <v>52</v>
      </c>
      <c r="B80" s="13">
        <v>1606</v>
      </c>
      <c r="C80" s="13">
        <v>476.12</v>
      </c>
    </row>
  </sheetData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DACFF-16C1-4575-9F06-821FF3887422}">
  <sheetPr>
    <tabColor rgb="FFFFC000"/>
  </sheetPr>
  <dimension ref="A1:G13"/>
  <sheetViews>
    <sheetView showGridLines="0" tabSelected="1" workbookViewId="0">
      <pane ySplit="1" topLeftCell="A2" activePane="bottomLeft" state="frozen"/>
      <selection pane="bottomLeft" activeCell="A23" sqref="A23"/>
    </sheetView>
  </sheetViews>
  <sheetFormatPr defaultRowHeight="14.4" x14ac:dyDescent="0.3"/>
  <cols>
    <col min="1" max="1" width="11" bestFit="1" customWidth="1"/>
    <col min="2" max="2" width="16.6640625" bestFit="1" customWidth="1"/>
    <col min="3" max="3" width="18.5546875" customWidth="1"/>
    <col min="4" max="4" width="26.33203125" bestFit="1" customWidth="1"/>
    <col min="5" max="5" width="21.109375" bestFit="1" customWidth="1"/>
    <col min="6" max="6" width="24.33203125" bestFit="1" customWidth="1"/>
    <col min="7" max="7" width="23.44140625" bestFit="1" customWidth="1"/>
  </cols>
  <sheetData>
    <row r="1" spans="1:7" ht="21" x14ac:dyDescent="0.4">
      <c r="A1" s="20" t="s">
        <v>73</v>
      </c>
      <c r="B1" s="20"/>
      <c r="C1" s="20"/>
      <c r="D1" s="21"/>
    </row>
    <row r="3" spans="1:7" ht="15.6" x14ac:dyDescent="0.3">
      <c r="A3" s="24" t="s">
        <v>74</v>
      </c>
      <c r="B3" s="24" t="s">
        <v>75</v>
      </c>
      <c r="C3" s="24" t="s">
        <v>76</v>
      </c>
      <c r="D3" s="24" t="s">
        <v>77</v>
      </c>
      <c r="E3" s="24" t="s">
        <v>78</v>
      </c>
      <c r="F3" s="24" t="s">
        <v>79</v>
      </c>
      <c r="G3" s="24" t="s">
        <v>80</v>
      </c>
    </row>
    <row r="4" spans="1:7" x14ac:dyDescent="0.3">
      <c r="A4" s="25" t="s">
        <v>15</v>
      </c>
      <c r="B4" s="22">
        <v>299</v>
      </c>
      <c r="C4" s="22"/>
      <c r="D4" s="23">
        <v>201227</v>
      </c>
      <c r="E4" s="22">
        <v>603</v>
      </c>
      <c r="F4" s="23">
        <v>180297</v>
      </c>
      <c r="G4" s="23">
        <v>2163564</v>
      </c>
    </row>
    <row r="5" spans="1:7" x14ac:dyDescent="0.3">
      <c r="A5" s="25" t="s">
        <v>16</v>
      </c>
      <c r="B5" s="22">
        <v>499</v>
      </c>
      <c r="C5" s="22"/>
      <c r="D5" s="23">
        <v>219061</v>
      </c>
      <c r="E5" s="22">
        <v>254</v>
      </c>
      <c r="F5" s="23">
        <v>126746</v>
      </c>
      <c r="G5" s="23">
        <v>1520952</v>
      </c>
    </row>
    <row r="6" spans="1:7" x14ac:dyDescent="0.3">
      <c r="A6" s="25" t="s">
        <v>17</v>
      </c>
      <c r="B6" s="22">
        <v>799</v>
      </c>
      <c r="C6" s="22"/>
      <c r="D6" s="23">
        <v>360349</v>
      </c>
      <c r="E6" s="22">
        <v>143</v>
      </c>
      <c r="F6" s="23">
        <v>114257</v>
      </c>
      <c r="G6" s="23">
        <v>1371084</v>
      </c>
    </row>
    <row r="7" spans="1:7" x14ac:dyDescent="0.3">
      <c r="A7" s="25" t="s">
        <v>14</v>
      </c>
      <c r="B7" s="22">
        <v>149</v>
      </c>
      <c r="C7" s="22"/>
      <c r="D7" s="23">
        <v>76884</v>
      </c>
      <c r="E7" s="22">
        <v>626</v>
      </c>
      <c r="F7" s="23">
        <v>93274</v>
      </c>
      <c r="G7" s="23">
        <v>1119288</v>
      </c>
    </row>
    <row r="8" spans="1:7" x14ac:dyDescent="0.3">
      <c r="A8" s="25" t="s">
        <v>81</v>
      </c>
      <c r="B8" s="22"/>
      <c r="C8" s="22"/>
      <c r="D8" s="23">
        <f>SUM(D4:D7)</f>
        <v>857521</v>
      </c>
      <c r="E8" s="22"/>
      <c r="F8" s="23">
        <f>SUM(F4:F7)</f>
        <v>514574</v>
      </c>
      <c r="G8" s="23">
        <f>SUM(G4:G7)</f>
        <v>6174888</v>
      </c>
    </row>
    <row r="10" spans="1:7" x14ac:dyDescent="0.3">
      <c r="A10" s="14" t="s">
        <v>82</v>
      </c>
      <c r="B10" s="15"/>
      <c r="C10" s="15"/>
      <c r="D10" s="16"/>
    </row>
    <row r="11" spans="1:7" x14ac:dyDescent="0.3">
      <c r="A11" s="17" t="s">
        <v>83</v>
      </c>
      <c r="B11" s="18"/>
      <c r="C11" s="18"/>
      <c r="D11" s="19"/>
    </row>
    <row r="12" spans="1:7" x14ac:dyDescent="0.3">
      <c r="A12" s="17" t="s">
        <v>84</v>
      </c>
      <c r="B12" s="18"/>
      <c r="C12" s="18"/>
      <c r="D12" s="19"/>
    </row>
    <row r="13" spans="1:7" x14ac:dyDescent="0.3">
      <c r="A13" s="17" t="s">
        <v>85</v>
      </c>
      <c r="B13" s="18"/>
      <c r="C13" s="18"/>
      <c r="D13" s="19"/>
    </row>
  </sheetData>
  <mergeCells count="4">
    <mergeCell ref="A10:D10"/>
    <mergeCell ref="A11:D11"/>
    <mergeCell ref="A12:D12"/>
    <mergeCell ref="A13:D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27CBF-8906-4CA0-91FD-BD486ADAB183}">
  <sheetPr>
    <tabColor rgb="FFFF0000"/>
  </sheetPr>
  <dimension ref="A1:R10"/>
  <sheetViews>
    <sheetView showGridLines="0" zoomScaleNormal="100" workbookViewId="0">
      <pane ySplit="1" topLeftCell="A2" activePane="bottomLeft" state="frozen"/>
      <selection pane="bottomLeft" activeCell="C29" sqref="C29"/>
    </sheetView>
  </sheetViews>
  <sheetFormatPr defaultRowHeight="14.4" x14ac:dyDescent="0.3"/>
  <cols>
    <col min="1" max="1" width="39.88671875" bestFit="1" customWidth="1"/>
    <col min="2" max="2" width="16.6640625" bestFit="1" customWidth="1"/>
    <col min="3" max="3" width="7.6640625" bestFit="1" customWidth="1"/>
    <col min="4" max="4" width="14.33203125" bestFit="1" customWidth="1"/>
    <col min="5" max="5" width="16.21875" bestFit="1" customWidth="1"/>
    <col min="6" max="6" width="12.33203125" bestFit="1" customWidth="1"/>
    <col min="7" max="7" width="18.21875" bestFit="1" customWidth="1"/>
    <col min="8" max="8" width="15.6640625" bestFit="1" customWidth="1"/>
    <col min="9" max="9" width="20.21875" bestFit="1" customWidth="1"/>
    <col min="10" max="10" width="19.109375" bestFit="1" customWidth="1"/>
    <col min="11" max="11" width="21.21875" bestFit="1" customWidth="1"/>
    <col min="12" max="12" width="20.6640625" bestFit="1" customWidth="1"/>
    <col min="13" max="13" width="17.109375" bestFit="1" customWidth="1"/>
    <col min="14" max="14" width="11.6640625" bestFit="1" customWidth="1"/>
    <col min="15" max="15" width="11.109375" bestFit="1" customWidth="1"/>
    <col min="16" max="16" width="33.6640625" bestFit="1" customWidth="1"/>
    <col min="17" max="17" width="25.109375" bestFit="1" customWidth="1"/>
    <col min="18" max="18" width="26.109375" bestFit="1" customWidth="1"/>
  </cols>
  <sheetData>
    <row r="1" spans="1:18" ht="21" x14ac:dyDescent="0.4">
      <c r="A1" s="27" t="s">
        <v>112</v>
      </c>
      <c r="B1" s="27"/>
    </row>
    <row r="2" spans="1:18" x14ac:dyDescent="0.3">
      <c r="A2" s="28" t="s">
        <v>113</v>
      </c>
      <c r="B2" s="28">
        <v>5</v>
      </c>
    </row>
    <row r="3" spans="1:18" x14ac:dyDescent="0.3">
      <c r="A3" s="28" t="s">
        <v>114</v>
      </c>
      <c r="B3" s="29">
        <v>1695</v>
      </c>
    </row>
    <row r="5" spans="1:18" x14ac:dyDescent="0.3">
      <c r="A5" t="s">
        <v>86</v>
      </c>
      <c r="B5" t="s">
        <v>87</v>
      </c>
      <c r="C5" t="s">
        <v>31</v>
      </c>
      <c r="D5" t="s">
        <v>32</v>
      </c>
      <c r="E5" t="s">
        <v>47</v>
      </c>
      <c r="F5" t="s">
        <v>71</v>
      </c>
      <c r="G5" t="s">
        <v>72</v>
      </c>
      <c r="H5" t="s">
        <v>88</v>
      </c>
      <c r="I5" t="s">
        <v>89</v>
      </c>
      <c r="J5" t="s">
        <v>90</v>
      </c>
      <c r="K5" t="s">
        <v>91</v>
      </c>
      <c r="L5" t="s">
        <v>92</v>
      </c>
      <c r="M5" t="s">
        <v>93</v>
      </c>
      <c r="N5" t="s">
        <v>94</v>
      </c>
      <c r="O5" t="s">
        <v>95</v>
      </c>
      <c r="P5" t="s">
        <v>109</v>
      </c>
      <c r="Q5" t="s">
        <v>110</v>
      </c>
      <c r="R5" t="s">
        <v>111</v>
      </c>
    </row>
    <row r="6" spans="1:18" x14ac:dyDescent="0.3">
      <c r="A6" s="13" t="s">
        <v>96</v>
      </c>
      <c r="B6" s="13" t="s">
        <v>97</v>
      </c>
      <c r="C6" s="13" t="s">
        <v>34</v>
      </c>
      <c r="D6" s="13" t="s">
        <v>35</v>
      </c>
      <c r="E6" s="13" t="s">
        <v>49</v>
      </c>
      <c r="F6" s="13" t="s">
        <v>14</v>
      </c>
      <c r="G6">
        <v>149</v>
      </c>
      <c r="H6">
        <v>21</v>
      </c>
      <c r="I6">
        <v>0</v>
      </c>
      <c r="J6">
        <v>0</v>
      </c>
      <c r="K6">
        <v>13</v>
      </c>
      <c r="L6">
        <v>59.9</v>
      </c>
      <c r="M6">
        <v>2</v>
      </c>
      <c r="N6">
        <v>9</v>
      </c>
      <c r="O6" s="26" t="s">
        <v>98</v>
      </c>
      <c r="P6" t="str">
        <f>IF(O6="CRITICAL","Immediate retention call + 1 month free offer",
 IF(O6="HIGH","Send personalised re-engagement email",
 IF(O6="MEDIUM","Push notification with new content","Monitor only")))</f>
        <v>Send personalised re-engagement email</v>
      </c>
      <c r="Q6">
        <f>Q12_High_Risk_Active_Customer_List4[[#This Row],[monthly_price_inr]]</f>
        <v>149</v>
      </c>
      <c r="R6">
        <f>IF(O6="CRITICAL",1,IF(P6="HIGH",2,3))</f>
        <v>3</v>
      </c>
    </row>
    <row r="7" spans="1:18" x14ac:dyDescent="0.3">
      <c r="A7" s="13" t="s">
        <v>99</v>
      </c>
      <c r="B7" s="13" t="s">
        <v>100</v>
      </c>
      <c r="C7" s="13" t="s">
        <v>37</v>
      </c>
      <c r="D7" s="13" t="s">
        <v>38</v>
      </c>
      <c r="E7" s="13" t="s">
        <v>50</v>
      </c>
      <c r="F7" s="13" t="s">
        <v>14</v>
      </c>
      <c r="G7">
        <v>149</v>
      </c>
      <c r="H7">
        <v>12</v>
      </c>
      <c r="I7">
        <v>0</v>
      </c>
      <c r="J7">
        <v>12</v>
      </c>
      <c r="K7">
        <v>13</v>
      </c>
      <c r="L7">
        <v>76.2</v>
      </c>
      <c r="M7">
        <v>3</v>
      </c>
      <c r="N7">
        <v>7</v>
      </c>
      <c r="O7" s="26" t="s">
        <v>98</v>
      </c>
      <c r="P7" t="str">
        <f>IF(O7="CRITICAL","Immediate retention call + 1 month free offer",
 IF(O7="HIGH","Send personalised re-engagement email",
 IF(O7="MEDIUM","Push notification with new content","Monitor only")))</f>
        <v>Send personalised re-engagement email</v>
      </c>
      <c r="Q7">
        <f>Q12_High_Risk_Active_Customer_List4[[#This Row],[monthly_price_inr]]</f>
        <v>149</v>
      </c>
      <c r="R7">
        <f>IF(O7="CRITICAL",1,IF(P7="HIGH",2,3))</f>
        <v>3</v>
      </c>
    </row>
    <row r="8" spans="1:18" x14ac:dyDescent="0.3">
      <c r="A8" s="13" t="s">
        <v>101</v>
      </c>
      <c r="B8" s="13" t="s">
        <v>102</v>
      </c>
      <c r="C8" s="13" t="s">
        <v>39</v>
      </c>
      <c r="D8" s="13" t="s">
        <v>40</v>
      </c>
      <c r="E8" s="13" t="s">
        <v>48</v>
      </c>
      <c r="F8" s="13" t="s">
        <v>17</v>
      </c>
      <c r="G8">
        <v>799</v>
      </c>
      <c r="H8">
        <v>1</v>
      </c>
      <c r="I8">
        <v>0</v>
      </c>
      <c r="J8">
        <v>0</v>
      </c>
      <c r="K8">
        <v>8</v>
      </c>
      <c r="L8">
        <v>92.5</v>
      </c>
      <c r="M8">
        <v>0</v>
      </c>
      <c r="N8">
        <v>7</v>
      </c>
      <c r="O8" s="26" t="s">
        <v>98</v>
      </c>
      <c r="P8" t="str">
        <f>IF(O8="CRITICAL","Immediate retention call + 1 month free offer",
 IF(O8="HIGH","Send personalised re-engagement email",
 IF(O8="MEDIUM","Push notification with new content","Monitor only")))</f>
        <v>Send personalised re-engagement email</v>
      </c>
      <c r="Q8">
        <f>Q12_High_Risk_Active_Customer_List4[[#This Row],[monthly_price_inr]]</f>
        <v>799</v>
      </c>
      <c r="R8">
        <f>IF(O8="CRITICAL",1,IF(P8="HIGH",2,3))</f>
        <v>3</v>
      </c>
    </row>
    <row r="9" spans="1:18" x14ac:dyDescent="0.3">
      <c r="A9" s="13" t="s">
        <v>103</v>
      </c>
      <c r="B9" s="13" t="s">
        <v>104</v>
      </c>
      <c r="C9" s="13" t="s">
        <v>105</v>
      </c>
      <c r="D9" s="13" t="s">
        <v>44</v>
      </c>
      <c r="E9" s="13" t="s">
        <v>50</v>
      </c>
      <c r="F9" s="13" t="s">
        <v>15</v>
      </c>
      <c r="G9">
        <v>299</v>
      </c>
      <c r="H9">
        <v>2</v>
      </c>
      <c r="I9">
        <v>0</v>
      </c>
      <c r="J9">
        <v>10</v>
      </c>
      <c r="K9">
        <v>3</v>
      </c>
      <c r="L9">
        <v>0</v>
      </c>
      <c r="M9">
        <v>1</v>
      </c>
      <c r="N9">
        <v>7</v>
      </c>
      <c r="O9" s="26" t="s">
        <v>98</v>
      </c>
      <c r="P9" t="str">
        <f>IF(O9="CRITICAL","Immediate retention call + 1 month free offer",
 IF(O9="HIGH","Send personalised re-engagement email",
 IF(O9="MEDIUM","Push notification with new content","Monitor only")))</f>
        <v>Send personalised re-engagement email</v>
      </c>
      <c r="Q9">
        <f>Q12_High_Risk_Active_Customer_List4[[#This Row],[monthly_price_inr]]</f>
        <v>299</v>
      </c>
      <c r="R9">
        <f>IF(O9="CRITICAL",1,IF(P9="HIGH",2,3))</f>
        <v>3</v>
      </c>
    </row>
    <row r="10" spans="1:18" x14ac:dyDescent="0.3">
      <c r="A10" s="13" t="s">
        <v>106</v>
      </c>
      <c r="B10" s="13" t="s">
        <v>107</v>
      </c>
      <c r="C10" s="13" t="s">
        <v>108</v>
      </c>
      <c r="D10" s="13" t="s">
        <v>35</v>
      </c>
      <c r="E10" s="13" t="s">
        <v>14</v>
      </c>
      <c r="F10" s="13" t="s">
        <v>15</v>
      </c>
      <c r="G10">
        <v>299</v>
      </c>
      <c r="H10">
        <v>1</v>
      </c>
      <c r="I10">
        <v>0</v>
      </c>
      <c r="J10">
        <v>0</v>
      </c>
      <c r="K10">
        <v>3</v>
      </c>
      <c r="L10">
        <v>67.5</v>
      </c>
      <c r="M10">
        <v>0</v>
      </c>
      <c r="N10">
        <v>7</v>
      </c>
      <c r="O10" s="26" t="s">
        <v>98</v>
      </c>
      <c r="P10" t="str">
        <f>IF(O10="CRITICAL","Immediate retention call + 1 month free offer",
 IF(O10="HIGH","Send personalised re-engagement email",
 IF(O10="MEDIUM","Push notification with new content","Monitor only")))</f>
        <v>Send personalised re-engagement email</v>
      </c>
      <c r="Q10">
        <f>Q12_High_Risk_Active_Customer_List4[[#This Row],[monthly_price_inr]]</f>
        <v>299</v>
      </c>
      <c r="R10">
        <f>IF(O10="CRITICAL",1,IF(P10="HIGH",2,3))</f>
        <v>3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B67C04-C5E5-42AD-8CF4-F5F40326A5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 Table </vt:lpstr>
      <vt:lpstr>Churn Analysis Pivots</vt:lpstr>
      <vt:lpstr>Revenue Impact Table </vt:lpstr>
      <vt:lpstr>High Risk Customer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Shriraj Yadav</dc:creator>
  <cp:lastModifiedBy>Shriraj Yadav</cp:lastModifiedBy>
  <dcterms:created xsi:type="dcterms:W3CDTF">2026-05-30T18:03:59Z</dcterms:created>
  <dcterms:modified xsi:type="dcterms:W3CDTF">2026-05-31T07:54:22Z</dcterms:modified>
</cp:coreProperties>
</file>